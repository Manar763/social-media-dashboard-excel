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tables/table5.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nar\Documents\courses\NTI_ Data Analysis\Tasks\Excel\DAY_06 (16-9-2026) (social media)\"/>
    </mc:Choice>
  </mc:AlternateContent>
  <xr:revisionPtr revIDLastSave="0" documentId="8_{9076D7C4-7A83-4DDD-AA41-37CB93A87913}" xr6:coauthVersionLast="47" xr6:coauthVersionMax="47" xr10:uidLastSave="{00000000-0000-0000-0000-000000000000}"/>
  <bookViews>
    <workbookView xWindow="0" yWindow="360" windowWidth="23256" windowHeight="12456" firstSheet="1" activeTab="2" xr2:uid="{A755D0A3-AB86-432E-855F-070FD993B388}"/>
  </bookViews>
  <sheets>
    <sheet name="Data" sheetId="1" r:id="rId1"/>
    <sheet name="report" sheetId="5" r:id="rId2"/>
    <sheet name="dashboard" sheetId="6" r:id="rId3"/>
    <sheet name="collect data" sheetId="4" r:id="rId4"/>
    <sheet name="Icons" sheetId="2" r:id="rId5"/>
  </sheets>
  <definedNames>
    <definedName name="all">'collect data'!$A$5</definedName>
    <definedName name="Slicer_platform">#N/A</definedName>
    <definedName name="Slicer_Week">#N/A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5" l="1"/>
  <c r="O3" i="5"/>
  <c r="N3" i="5"/>
  <c r="M3" i="5"/>
  <c r="L3" i="5"/>
  <c r="K3" i="5"/>
  <c r="P2" i="5"/>
  <c r="O2" i="5"/>
  <c r="N2" i="5"/>
  <c r="M2" i="5"/>
  <c r="L2" i="5"/>
  <c r="K2" i="5"/>
  <c r="AG3" i="1"/>
  <c r="Y3" i="1"/>
  <c r="Q3" i="1"/>
  <c r="I3" i="1"/>
</calcChain>
</file>

<file path=xl/sharedStrings.xml><?xml version="1.0" encoding="utf-8"?>
<sst xmlns="http://schemas.openxmlformats.org/spreadsheetml/2006/main" count="557" uniqueCount="42">
  <si>
    <t>Week</t>
  </si>
  <si>
    <t>Impressions</t>
  </si>
  <si>
    <t>Engagement Rate</t>
  </si>
  <si>
    <t>Audience Growth Rate</t>
  </si>
  <si>
    <t>Response Rate</t>
  </si>
  <si>
    <t>Post Reach</t>
  </si>
  <si>
    <t>FACEBOOK</t>
  </si>
  <si>
    <t>Starting Number of Fans:</t>
  </si>
  <si>
    <t>LINKEDIN</t>
  </si>
  <si>
    <t>Likes</t>
  </si>
  <si>
    <t>INSTAGRAM</t>
  </si>
  <si>
    <t>X</t>
  </si>
  <si>
    <t>Current Number of Fans:</t>
  </si>
  <si>
    <t>New Fans:</t>
  </si>
  <si>
    <t>Average Engagement Rate</t>
  </si>
  <si>
    <t>Average Response Rate</t>
  </si>
  <si>
    <t>Total Impressions</t>
  </si>
  <si>
    <t>???</t>
  </si>
  <si>
    <t>platform</t>
  </si>
  <si>
    <t>Faceboock</t>
  </si>
  <si>
    <t>linkedin</t>
  </si>
  <si>
    <t>x</t>
  </si>
  <si>
    <t>Instgram</t>
  </si>
  <si>
    <t>Grand Total</t>
  </si>
  <si>
    <t>Platform</t>
  </si>
  <si>
    <t>Sum of Impressions</t>
  </si>
  <si>
    <t>Average of Engagement Rate</t>
  </si>
  <si>
    <t>Column Labels</t>
  </si>
  <si>
    <t>New Fans</t>
  </si>
  <si>
    <t>Average of Response Rate</t>
  </si>
  <si>
    <t>Total Likes</t>
  </si>
  <si>
    <t>total Post Reach</t>
  </si>
  <si>
    <t>Total New Fans</t>
  </si>
  <si>
    <t>Sum of Post Reach</t>
  </si>
  <si>
    <t>Sum of New Fans</t>
  </si>
  <si>
    <r>
      <rPr>
        <b/>
        <sz val="24"/>
        <color theme="0"/>
        <rFont val="Calibri"/>
        <family val="2"/>
        <scheme val="minor"/>
      </rPr>
      <t>Social Media</t>
    </r>
    <r>
      <rPr>
        <b/>
        <sz val="24"/>
        <color theme="2"/>
        <rFont val="Calibri"/>
        <family val="2"/>
        <scheme val="minor"/>
      </rPr>
      <t xml:space="preserve"> </t>
    </r>
    <r>
      <rPr>
        <b/>
        <sz val="24"/>
        <color rgb="FFE84D91"/>
        <rFont val="Calibri"/>
        <family val="2"/>
        <scheme val="minor"/>
      </rPr>
      <t>Dashboard</t>
    </r>
  </si>
  <si>
    <t>weeks</t>
  </si>
  <si>
    <t>total impressions for platform</t>
  </si>
  <si>
    <t>cards</t>
  </si>
  <si>
    <t>response rate performance by platform</t>
  </si>
  <si>
    <t>over all platform performance</t>
  </si>
  <si>
    <t>Audience Growth Rate Trend by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</si>
</sst>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00"/>
    <numFmt numFmtId="168" formatCode="_-* #,##0_-;\-* #,##0_-;_-* &quot;-&quot;??_-;_-@_-"/>
  </numFmts>
  <fonts count="13" x14ac:knownFonts="1">
    <font>
      <sz val="11"/>
      <color theme="1"/>
      <name val="Calibri"/>
      <family val="2"/>
      <scheme val="minor"/>
    </font>
    <font>
      <b/>
      <sz val="10"/>
      <color rgb="FF111111"/>
      <name val="Bahnschrift"/>
      <family val="2"/>
    </font>
    <font>
      <sz val="10"/>
      <color rgb="FF111111"/>
      <name val="Bahnschrift"/>
      <family val="2"/>
    </font>
    <font>
      <sz val="10"/>
      <color theme="1"/>
      <name val="Bahnschrift"/>
      <family val="2"/>
    </font>
    <font>
      <b/>
      <sz val="18"/>
      <color theme="1"/>
      <name val="Bahnschrift"/>
      <family val="2"/>
    </font>
    <font>
      <b/>
      <sz val="10"/>
      <color theme="1"/>
      <name val="Bahnschrift"/>
      <family val="2"/>
    </font>
    <font>
      <sz val="11"/>
      <color theme="1"/>
      <name val="Calibri"/>
      <family val="2"/>
      <scheme val="minor"/>
    </font>
    <font>
      <b/>
      <sz val="24"/>
      <color theme="2"/>
      <name val="Calibri"/>
      <family val="2"/>
      <scheme val="minor"/>
    </font>
    <font>
      <sz val="24"/>
      <color theme="1"/>
      <name val="Calibri"/>
      <family val="2"/>
      <scheme val="minor"/>
    </font>
    <font>
      <sz val="24"/>
      <color rgb="FFDE0875"/>
      <name val="Calibri"/>
      <family val="2"/>
      <scheme val="minor"/>
    </font>
    <font>
      <sz val="11"/>
      <color rgb="FFDE0875"/>
      <name val="Calibri"/>
      <family val="2"/>
      <scheme val="minor"/>
    </font>
    <font>
      <b/>
      <sz val="24"/>
      <color theme="0"/>
      <name val="Calibri"/>
      <family val="2"/>
      <scheme val="minor"/>
    </font>
    <font>
      <b/>
      <sz val="24"/>
      <color rgb="FFE84D9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61B3C"/>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43" fontId="6" fillId="0" borderId="0" applyFont="0" applyFill="0" applyBorder="0" applyAlignment="0" applyProtection="0"/>
  </cellStyleXfs>
  <cellXfs count="3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3" fontId="2" fillId="0" borderId="0" xfId="0" applyNumberFormat="1" applyFont="1" applyAlignment="1">
      <alignment horizontal="center" vertical="center" wrapText="1"/>
    </xf>
    <xf numFmtId="9" fontId="2" fillId="0" borderId="0" xfId="0" applyNumberFormat="1" applyFont="1" applyAlignment="1">
      <alignment horizontal="center" vertical="center" wrapText="1"/>
    </xf>
    <xf numFmtId="10" fontId="2" fillId="0" borderId="0" xfId="0" applyNumberFormat="1" applyFont="1" applyAlignment="1">
      <alignment horizontal="center" vertical="center" wrapText="1"/>
    </xf>
    <xf numFmtId="0" fontId="3" fillId="0" borderId="0" xfId="0" applyFont="1"/>
    <xf numFmtId="0" fontId="3" fillId="0" borderId="0" xfId="0" applyFont="1" applyAlignment="1">
      <alignment horizontal="center" vertical="center"/>
    </xf>
    <xf numFmtId="0" fontId="3" fillId="2" borderId="0" xfId="0" applyFont="1" applyFill="1"/>
    <xf numFmtId="0" fontId="3" fillId="2" borderId="0" xfId="0" applyFont="1" applyFill="1" applyAlignment="1">
      <alignment horizontal="center" vertical="center"/>
    </xf>
    <xf numFmtId="3" fontId="1" fillId="2" borderId="0" xfId="0" applyNumberFormat="1" applyFont="1" applyFill="1" applyAlignment="1">
      <alignment horizontal="center" vertical="center" wrapText="1"/>
    </xf>
    <xf numFmtId="10" fontId="1" fillId="2" borderId="0" xfId="0" applyNumberFormat="1" applyFont="1" applyFill="1" applyAlignment="1">
      <alignment horizontal="center" vertical="center" wrapText="1"/>
    </xf>
    <xf numFmtId="0" fontId="3" fillId="3" borderId="0" xfId="0" applyFont="1" applyFill="1"/>
    <xf numFmtId="10" fontId="5" fillId="2" borderId="0" xfId="0" applyNumberFormat="1" applyFont="1" applyFill="1" applyAlignment="1">
      <alignment horizontal="left" vertical="center"/>
    </xf>
    <xf numFmtId="3" fontId="1" fillId="4" borderId="0" xfId="0" applyNumberFormat="1" applyFont="1" applyFill="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9" fontId="0" fillId="0" borderId="0" xfId="0" applyNumberFormat="1"/>
    <xf numFmtId="164" fontId="0" fillId="0" borderId="0" xfId="0" applyNumberFormat="1"/>
    <xf numFmtId="0" fontId="0" fillId="5" borderId="0" xfId="0" applyFill="1"/>
    <xf numFmtId="0" fontId="7" fillId="5" borderId="0" xfId="0" applyFont="1" applyFill="1"/>
    <xf numFmtId="0" fontId="8" fillId="5" borderId="0" xfId="0" applyFont="1" applyFill="1"/>
    <xf numFmtId="0" fontId="9" fillId="5" borderId="0" xfId="0" applyFont="1" applyFill="1"/>
    <xf numFmtId="0" fontId="10" fillId="5" borderId="0" xfId="0" applyFont="1" applyFill="1"/>
    <xf numFmtId="43" fontId="0" fillId="0" borderId="0" xfId="1" applyFont="1"/>
    <xf numFmtId="0" fontId="0" fillId="6" borderId="0" xfId="0" applyFill="1"/>
    <xf numFmtId="0" fontId="3" fillId="2" borderId="0" xfId="0" applyFont="1" applyFill="1" applyAlignment="1">
      <alignment horizontal="right" vertical="center"/>
    </xf>
    <xf numFmtId="0" fontId="4" fillId="2" borderId="0" xfId="0" applyFont="1" applyFill="1" applyAlignment="1">
      <alignment horizontal="left" vertical="center"/>
    </xf>
    <xf numFmtId="0" fontId="3" fillId="3" borderId="0" xfId="0" applyFont="1" applyFill="1" applyAlignment="1">
      <alignment horizontal="right" vertical="center"/>
    </xf>
    <xf numFmtId="0" fontId="3" fillId="3" borderId="0" xfId="0" applyFont="1" applyFill="1" applyAlignment="1">
      <alignment horizontal="center" vertical="center"/>
    </xf>
    <xf numFmtId="168" fontId="0" fillId="0" borderId="0" xfId="1" applyNumberFormat="1" applyFont="1"/>
  </cellXfs>
  <cellStyles count="2">
    <cellStyle name="Comma" xfId="1" builtinId="3"/>
    <cellStyle name="Normal" xfId="0" builtinId="0"/>
  </cellStyles>
  <dxfs count="401">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numFmt numFmtId="14" formatCode="0.00%"/>
    </dxf>
    <dxf>
      <numFmt numFmtId="164" formatCode="#,##0.000"/>
    </dxf>
    <dxf>
      <numFmt numFmtId="3" formatCode="#,##0"/>
    </dxf>
    <dxf>
      <font>
        <b/>
        <i val="0"/>
        <sz val="14"/>
        <color rgb="FFFFFFFF"/>
      </font>
      <fill>
        <patternFill>
          <bgColor rgb="FF09244A"/>
        </patternFill>
      </fill>
      <border diagonalUp="0" diagonalDown="0">
        <left/>
        <right/>
        <top/>
        <bottom/>
        <vertical/>
        <horizontal/>
      </border>
    </dxf>
    <dxf>
      <font>
        <b/>
        <i val="0"/>
        <sz val="14"/>
        <color rgb="FFFFFFFF"/>
      </font>
      <fill>
        <patternFill>
          <bgColor rgb="FF061B3C"/>
        </patternFill>
      </fill>
      <border diagonalUp="0" diagonalDown="0">
        <left style="thin">
          <color rgb="FF214574"/>
        </left>
        <right style="thin">
          <color rgb="FF214574"/>
        </right>
        <top style="thin">
          <color rgb="FF214574"/>
        </top>
        <bottom style="thin">
          <color rgb="FF214574"/>
        </bottom>
        <vertical/>
        <horizontal style="thin">
          <color rgb="FF214574"/>
        </horizontal>
      </border>
    </dxf>
    <dxf>
      <numFmt numFmtId="14" formatCode="0.00%"/>
    </dxf>
    <dxf>
      <numFmt numFmtId="164" formatCode="#,##0.000"/>
    </dxf>
    <dxf>
      <numFmt numFmtId="3" formatCode="#,##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1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numFmt numFmtId="14" formatCode="0.00%"/>
      <alignment horizontal="center" vertical="center" textRotation="0" indent="0" justifyLastLine="0" shrinkToFit="0" readingOrder="0"/>
    </dxf>
    <dxf>
      <font>
        <b val="0"/>
        <i val="0"/>
        <strike val="0"/>
        <condense val="0"/>
        <extend val="0"/>
        <outline val="0"/>
        <shadow val="0"/>
        <u val="none"/>
        <vertAlign val="baseline"/>
        <sz val="10"/>
        <color rgb="FF111111"/>
        <name val="Bahnschrift"/>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rgb="FF111111"/>
        <name val="Bahnschrift"/>
        <family val="2"/>
        <scheme val="none"/>
      </font>
      <alignment horizontal="center" vertical="center" textRotation="0" wrapText="1" indent="0" justifyLastLine="0" shrinkToFit="0" readingOrder="0"/>
    </dxf>
    <dxf>
      <numFmt numFmtId="3" formatCode="#,##0"/>
    </dxf>
    <dxf>
      <numFmt numFmtId="164" formatCode="#,##0.000"/>
    </dxf>
    <dxf>
      <numFmt numFmtId="14"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FFFF"/>
      </font>
      <fill>
        <patternFill>
          <bgColor rgb="FF09244A"/>
        </patternFill>
      </fill>
      <border diagonalUp="0" diagonalDown="0">
        <left/>
        <right/>
        <top/>
        <bottom/>
        <vertical/>
        <horizontal/>
      </border>
    </dxf>
    <dxf>
      <font>
        <color rgb="FFFFFFFF"/>
      </font>
      <fill>
        <patternFill>
          <bgColor rgb="FF061B3C"/>
        </patternFill>
      </fill>
      <border diagonalUp="0" diagonalDown="0">
        <left style="thin">
          <color rgb="FF214574"/>
        </left>
        <right style="thin">
          <color rgb="FF214574"/>
        </right>
        <top style="thin">
          <color rgb="FF214574"/>
        </top>
        <bottom style="thin">
          <color rgb="FF214574"/>
        </bottom>
        <vertical/>
        <horizontal style="thin">
          <color rgb="FF214574"/>
        </horizontal>
      </border>
    </dxf>
    <dxf>
      <font>
        <b/>
        <i val="0"/>
        <color rgb="FFFFFFFF"/>
      </font>
      <fill>
        <patternFill>
          <bgColor rgb="FF09244A"/>
        </patternFill>
      </fill>
      <border diagonalUp="0" diagonalDown="0">
        <left/>
        <right/>
        <top/>
        <bottom/>
        <vertical/>
        <horizontal/>
      </border>
    </dxf>
    <dxf>
      <font>
        <color rgb="FFFFFFFF"/>
      </font>
      <fill>
        <patternFill>
          <bgColor rgb="FF061B3C"/>
        </patternFill>
      </fill>
      <border diagonalUp="0" diagonalDown="0">
        <left style="thin">
          <color rgb="FF2870FF"/>
        </left>
        <right style="thin">
          <color rgb="FF2870FF"/>
        </right>
        <top style="thin">
          <color rgb="FF2870FF"/>
        </top>
        <bottom style="thin">
          <color rgb="FF2870FF"/>
        </bottom>
        <vertical/>
        <horizontal/>
      </border>
    </dxf>
    <dxf>
      <font>
        <b/>
        <i val="0"/>
        <color rgb="FFFFFFFF"/>
      </font>
      <fill>
        <patternFill>
          <bgColor rgb="FF09244A"/>
        </patternFill>
      </fill>
      <border diagonalUp="0" diagonalDown="0">
        <left/>
        <right/>
        <top/>
        <bottom/>
        <vertical/>
        <horizontal/>
      </border>
    </dxf>
    <dxf>
      <font>
        <color rgb="FFFFFFFF"/>
      </font>
      <fill>
        <patternFill>
          <bgColor rgb="FF061B3C"/>
        </patternFill>
      </fill>
      <border diagonalUp="0" diagonalDown="0">
        <left/>
        <right/>
        <top/>
        <bottom/>
        <vertical/>
        <horizontal/>
      </border>
    </dxf>
    <dxf>
      <font>
        <b/>
        <i val="0"/>
        <color rgb="FFFFFFFF"/>
      </font>
      <fill>
        <patternFill>
          <bgColor rgb="FF09244A"/>
        </patternFill>
      </fill>
      <border diagonalUp="0" diagonalDown="0">
        <left/>
        <right/>
        <top/>
        <bottom/>
        <vertical/>
        <horizontal/>
      </border>
    </dxf>
    <dxf>
      <font>
        <color rgb="FFFFFFFF"/>
      </font>
      <fill>
        <patternFill patternType="none">
          <bgColor auto="1"/>
        </patternFill>
      </fill>
      <border diagonalUp="0" diagonalDown="0">
        <left/>
        <right/>
        <top/>
        <bottom/>
        <vertical/>
        <horizontal/>
      </border>
    </dxf>
    <dxf>
      <font>
        <b/>
        <i val="0"/>
        <color rgb="FFFFFFFF"/>
      </font>
      <fill>
        <patternFill>
          <bgColor rgb="FF09244A"/>
        </patternFill>
      </fill>
      <border diagonalUp="0" diagonalDown="0">
        <left/>
        <right/>
        <top/>
        <bottom/>
        <vertical/>
        <horizontal/>
      </border>
    </dxf>
    <dxf>
      <font>
        <color rgb="FFFFFFFF"/>
      </font>
      <fill>
        <patternFill>
          <bgColor rgb="FF09244A"/>
        </patternFill>
      </fill>
      <border diagonalUp="0" diagonalDown="0">
        <left/>
        <right/>
        <top/>
        <bottom/>
        <vertical/>
        <horizontal/>
      </border>
    </dxf>
    <dxf>
      <font>
        <b/>
        <i val="0"/>
        <color rgb="FFFFFFFF"/>
      </font>
      <fill>
        <patternFill>
          <bgColor rgb="FF09244A"/>
        </patternFill>
      </fill>
      <border>
        <bottom style="thin">
          <color theme="5"/>
        </bottom>
        <vertical/>
        <horizontal/>
      </border>
    </dxf>
    <dxf>
      <font>
        <color rgb="FFFFFFFF"/>
      </font>
      <fill>
        <patternFill>
          <bgColor rgb="FF09244A"/>
        </patternFill>
      </fill>
      <border diagonalUp="0" diagonalDown="0">
        <left/>
        <right/>
        <top/>
        <bottom/>
        <vertical/>
        <horizontal/>
      </border>
    </dxf>
    <dxf>
      <font>
        <b/>
        <i val="0"/>
        <color rgb="FFFFFFFF"/>
      </font>
      <fill>
        <patternFill>
          <bgColor rgb="FF09244A"/>
        </patternFill>
      </fill>
      <border>
        <bottom style="thin">
          <color theme="5"/>
        </bottom>
        <vertical/>
        <horizontal/>
      </border>
    </dxf>
    <dxf>
      <font>
        <color rgb="FFFFFFFF"/>
      </font>
      <fill>
        <patternFill>
          <bgColor rgb="FF09244A"/>
        </patternFill>
      </fill>
      <border diagonalUp="0" diagonalDown="0">
        <left/>
        <right/>
        <top/>
        <bottom/>
        <vertical/>
        <horizontal/>
      </border>
    </dxf>
    <dxf>
      <font>
        <b/>
        <i val="0"/>
        <color rgb="FFFFFFFF"/>
      </font>
      <fill>
        <patternFill>
          <bgColor rgb="FF09244A"/>
        </patternFill>
      </fill>
      <border>
        <bottom style="thin">
          <color theme="5"/>
        </bottom>
        <vertical/>
        <horizontal/>
      </border>
    </dxf>
    <dxf>
      <font>
        <color rgb="FFFFFFFF"/>
      </font>
      <fill>
        <patternFill>
          <bgColor rgb="FF09244A"/>
        </patternFill>
      </fill>
      <border diagonalUp="0" diagonalDown="0">
        <left/>
        <right/>
        <top/>
        <bottom/>
        <vertical/>
        <horizontal/>
      </border>
    </dxf>
    <dxf>
      <font>
        <b/>
        <i val="0"/>
        <color rgb="FFFFFFFF"/>
      </font>
      <fill>
        <patternFill>
          <bgColor rgb="FF09244A"/>
        </patternFill>
      </fill>
      <border>
        <bottom style="thin">
          <color theme="5"/>
        </bottom>
        <vertical/>
        <horizontal/>
      </border>
    </dxf>
    <dxf>
      <font>
        <color rgb="FFFFFFFF"/>
      </font>
      <fill>
        <patternFill>
          <bgColor rgb="FF09244A"/>
        </patternFill>
      </fill>
      <border diagonalUp="0" diagonalDown="0">
        <left/>
        <right/>
        <top/>
        <bottom/>
        <vertical/>
        <horizontal/>
      </border>
    </dxf>
    <dxf>
      <font>
        <b/>
        <i val="0"/>
        <color rgb="FFFFFFFF"/>
      </font>
      <fill>
        <patternFill>
          <bgColor rgb="FF09244A"/>
        </patternFill>
      </fill>
      <border>
        <bottom style="thin">
          <color theme="5"/>
        </bottom>
        <vertical/>
        <horizontal/>
      </border>
    </dxf>
    <dxf>
      <font>
        <color theme="1"/>
      </font>
      <fill>
        <patternFill>
          <bgColor rgb="FF09244A"/>
        </patternFill>
      </fill>
      <border diagonalUp="0" diagonalDown="0">
        <left/>
        <right/>
        <top/>
        <bottom/>
        <vertical/>
        <horizontal/>
      </border>
    </dxf>
    <dxf>
      <font>
        <b/>
        <i val="0"/>
        <color rgb="FFFFFFFF"/>
      </font>
      <fill>
        <patternFill>
          <bgColor rgb="FF171B2A"/>
        </patternFill>
      </fill>
      <border>
        <bottom style="thin">
          <color theme="5"/>
        </bottom>
        <vertical/>
        <horizontal/>
      </border>
    </dxf>
    <dxf>
      <font>
        <color theme="1"/>
      </font>
      <fill>
        <patternFill>
          <bgColor rgb="FF061B3C"/>
        </patternFill>
      </fill>
      <border diagonalUp="0" diagonalDown="0">
        <left/>
        <right/>
        <top/>
        <bottom/>
        <vertical/>
        <horizontal/>
      </border>
    </dxf>
    <dxf>
      <font>
        <b/>
        <i val="0"/>
        <color rgb="FFFFFFFF"/>
      </font>
      <fill>
        <patternFill>
          <bgColor rgb="FF171B2A"/>
        </patternFill>
      </fill>
      <border>
        <bottom style="thin">
          <color theme="5"/>
        </bottom>
        <vertical/>
        <horizontal/>
      </border>
    </dxf>
    <dxf>
      <font>
        <color theme="1"/>
      </font>
      <fill>
        <patternFill>
          <bgColor rgb="FF061B3C"/>
        </patternFill>
      </fill>
      <border diagonalUp="0" diagonalDown="0">
        <left/>
        <right/>
        <top/>
        <bottom/>
        <vertical/>
        <horizontal/>
      </border>
    </dxf>
    <dxf>
      <font>
        <b/>
        <i val="0"/>
        <color rgb="FFFFFFFF"/>
      </font>
      <fill>
        <patternFill>
          <bgColor rgb="FF171B2A"/>
        </patternFill>
      </fill>
      <border>
        <bottom style="thin">
          <color theme="5"/>
        </bottom>
        <vertical/>
        <horizontal/>
      </border>
    </dxf>
    <dxf>
      <font>
        <color theme="1"/>
      </font>
      <fill>
        <patternFill>
          <bgColor theme="7" tint="-0.499984740745262"/>
        </patternFill>
      </fill>
      <border diagonalUp="0" diagonalDown="0">
        <left/>
        <right/>
        <top/>
        <bottom/>
        <vertical/>
        <horizontal/>
      </border>
    </dxf>
    <dxf>
      <font>
        <b/>
        <i val="0"/>
        <color rgb="FFFFFFFF"/>
      </font>
      <fill>
        <patternFill>
          <bgColor rgb="FF171B2A"/>
        </patternFill>
      </fill>
      <border>
        <bottom style="thin">
          <color theme="5"/>
        </bottom>
        <vertical/>
        <horizontal/>
      </border>
    </dxf>
    <dxf>
      <font>
        <color theme="1"/>
      </font>
      <fill>
        <patternFill>
          <bgColor rgb="FF002060"/>
        </patternFill>
      </fill>
      <border diagonalUp="0" diagonalDown="0">
        <left/>
        <right/>
        <top/>
        <bottom/>
        <vertical/>
        <horizontal/>
      </border>
    </dxf>
    <dxf>
      <font>
        <b/>
        <i val="0"/>
        <color rgb="FFFFFFFF"/>
      </font>
      <fill>
        <patternFill>
          <bgColor rgb="FF171B2A"/>
        </patternFill>
      </fill>
      <border>
        <bottom style="thin">
          <color theme="5"/>
        </bottom>
        <vertical/>
        <horizontal/>
      </border>
    </dxf>
    <dxf>
      <font>
        <color theme="1"/>
      </font>
      <fill>
        <patternFill>
          <bgColor rgb="FF242A3B"/>
        </patternFill>
      </fill>
      <border diagonalUp="0" diagonalDown="0">
        <left/>
        <right/>
        <top/>
        <bottom/>
        <vertical/>
        <horizontal/>
      </border>
    </dxf>
    <dxf>
      <font>
        <b/>
        <i val="0"/>
        <color rgb="FFFFFFFF"/>
      </font>
      <fill>
        <patternFill>
          <bgColor rgb="FF171B2A"/>
        </patternFill>
      </fill>
      <border>
        <bottom style="thin">
          <color theme="5"/>
        </bottom>
        <vertical/>
        <horizontal/>
      </border>
    </dxf>
    <dxf>
      <font>
        <color theme="1"/>
      </font>
      <fill>
        <patternFill>
          <bgColor rgb="FF242A3B"/>
        </patternFill>
      </fill>
      <border>
        <left style="thin">
          <color theme="5"/>
        </left>
        <right style="thin">
          <color theme="5"/>
        </right>
        <top style="thin">
          <color theme="5"/>
        </top>
        <bottom style="thin">
          <color theme="5"/>
        </bottom>
        <vertical/>
        <horizontal/>
      </border>
    </dxf>
    <dxf>
      <font>
        <b/>
        <i val="0"/>
        <color rgb="FFFFFFFF"/>
      </font>
      <fill>
        <patternFill>
          <bgColor rgb="FF171B2A"/>
        </patternFill>
      </fill>
      <border>
        <bottom style="thin">
          <color theme="5"/>
        </bottom>
        <vertical/>
        <horizontal/>
      </border>
    </dxf>
    <dxf>
      <font>
        <color theme="1"/>
      </font>
      <fill>
        <patternFill>
          <bgColor rgb="FF242A3B"/>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rgb="FF002060"/>
        </patternFill>
      </fill>
      <border>
        <left style="thin">
          <color theme="5"/>
        </left>
        <right style="thin">
          <color theme="5"/>
        </right>
        <top style="thin">
          <color theme="5"/>
        </top>
        <bottom style="thin">
          <color theme="5"/>
        </bottom>
        <vertical/>
        <horizontal/>
      </border>
    </dxf>
    <dxf>
      <fill>
        <patternFill>
          <fgColor rgb="FF242A3B"/>
        </patternFill>
      </fill>
    </dxf>
    <dxf>
      <fill>
        <patternFill>
          <bgColor rgb="FF002060"/>
        </patternFill>
      </fill>
    </dxf>
    <dxf>
      <font>
        <color rgb="FF171B2A"/>
      </font>
    </dxf>
    <dxf>
      <font>
        <color rgb="FF242A3B"/>
      </font>
    </dxf>
    <dxf>
      <font>
        <color rgb="FFDE0875"/>
      </font>
    </dxf>
  </dxfs>
  <tableStyles count="25" defaultTableStyle="TableStyleMedium2" defaultPivotStyle="PivotStyleLight16">
    <tableStyle name="Slicer Style 1" pivot="0" table="0" count="1" xr9:uid="{D580A570-F19B-464A-BA56-746183C9CDC3}">
      <tableStyleElement type="wholeTable" dxfId="400"/>
    </tableStyle>
    <tableStyle name="Slicer Style 2" pivot="0" table="0" count="7" xr9:uid="{EBC48E20-809B-418B-A525-11A82B90956B}">
      <tableStyleElement type="wholeTable" dxfId="399"/>
      <tableStyleElement type="headerRow" dxfId="398"/>
    </tableStyle>
    <tableStyle name="Slicer Style 3" pivot="0" table="0" count="1" xr9:uid="{F8228011-530D-400C-A73C-07C11DF12F11}"/>
    <tableStyle name="Slicer Style 4" pivot="0" table="0" count="1" xr9:uid="{5CFF3DC7-B420-43EA-9976-4C44BBEA49B3}"/>
    <tableStyle name="Slicer Style 5" pivot="0" table="0" count="1" xr9:uid="{7592D02C-CB1E-4330-8724-9883B436A642}">
      <tableStyleElement type="wholeTable" dxfId="397"/>
    </tableStyle>
    <tableStyle name="Slicer Style 6" pivot="0" table="0" count="1" xr9:uid="{0B2BEE28-BF14-47D4-B502-4CC925DC0FA0}">
      <tableStyleElement type="wholeTable" dxfId="396"/>
    </tableStyle>
    <tableStyle name="SlicerStyleLight2 2" pivot="0" table="0" count="10" xr9:uid="{D24A8BBF-07F3-4011-BC51-0564D19634DB}">
      <tableStyleElement type="wholeTable" dxfId="395"/>
      <tableStyleElement type="headerRow" dxfId="394"/>
    </tableStyle>
    <tableStyle name="SlicerStyleLight2 2 2" pivot="0" table="0" count="10" xr9:uid="{E227D98F-D85D-465A-840E-7EBE3919D32B}">
      <tableStyleElement type="wholeTable" dxfId="393"/>
      <tableStyleElement type="headerRow" dxfId="392"/>
    </tableStyle>
    <tableStyle name="SlicerStyleLight2 2 2 2" pivot="0" table="0" count="10" xr9:uid="{A1FD397B-9452-4558-BB94-8BAEC5A7CC63}">
      <tableStyleElement type="wholeTable" dxfId="391"/>
      <tableStyleElement type="headerRow" dxfId="390"/>
    </tableStyle>
    <tableStyle name="SlicerStyleLight2 2 2 3" pivot="0" table="0" count="10" xr9:uid="{E9926390-A201-4431-B11F-CCA1D623A89D}">
      <tableStyleElement type="wholeTable" dxfId="389"/>
      <tableStyleElement type="headerRow" dxfId="388"/>
    </tableStyle>
    <tableStyle name="SlicerStyleLight2 2 2 3 2" pivot="0" table="0" count="10" xr9:uid="{E88A3DF9-4FA2-41BA-AFC1-3106C7EC6F03}">
      <tableStyleElement type="wholeTable" dxfId="387"/>
      <tableStyleElement type="headerRow" dxfId="386"/>
    </tableStyle>
    <tableStyle name="SlicerStyleLight2 2 2 3 2 2" pivot="0" table="0" count="10" xr9:uid="{13E98363-A92B-40A4-BE60-1BA3A3F8C6CD}">
      <tableStyleElement type="wholeTable" dxfId="385"/>
      <tableStyleElement type="headerRow" dxfId="384"/>
    </tableStyle>
    <tableStyle name="SlicerStyleLight2 2 2 3 2 2 2" pivot="0" table="0" count="10" xr9:uid="{DC374B5B-E7CB-4A11-B849-419819AE47A0}">
      <tableStyleElement type="wholeTable" dxfId="383"/>
      <tableStyleElement type="headerRow" dxfId="382"/>
    </tableStyle>
    <tableStyle name="SlicerStyleLight2 2 2 3 2 2 2 2" pivot="0" table="0" count="10" xr9:uid="{7AFBD1F2-0811-492C-8169-7F4A20324263}">
      <tableStyleElement type="wholeTable" dxfId="381"/>
      <tableStyleElement type="headerRow" dxfId="380"/>
    </tableStyle>
    <tableStyle name="SlicerStyleLight2 2 2 3 2 2 2 2 2 2" pivot="0" table="0" count="10" xr9:uid="{E9566047-A34B-4E49-90CE-E079594E024D}">
      <tableStyleElement type="wholeTable" dxfId="379"/>
      <tableStyleElement type="headerRow" dxfId="378"/>
    </tableStyle>
    <tableStyle name="SlicerStyleLight2 2 2 3 2 2 2 2 2 2 2" pivot="0" table="0" count="10" xr9:uid="{D72699D2-B9C9-407D-921A-109A970BB295}">
      <tableStyleElement type="wholeTable" dxfId="377"/>
      <tableStyleElement type="headerRow" dxfId="376"/>
    </tableStyle>
    <tableStyle name="SlicerStyleLight2 2 2 3 2 2 2 2 2 2 2 2" pivot="0" table="0" count="10" xr9:uid="{1495F56E-C9CD-4058-9D90-FFCC20A9AE4F}">
      <tableStyleElement type="wholeTable" dxfId="375"/>
      <tableStyleElement type="headerRow" dxfId="374"/>
    </tableStyle>
    <tableStyle name="SlicerStyleLight2 2 2 3 2 2 2 2 2 2 2 2 2" pivot="0" table="0" count="10" xr9:uid="{8822438C-B877-44D1-AE3C-E786737EBD2B}">
      <tableStyleElement type="wholeTable" dxfId="373"/>
      <tableStyleElement type="headerRow" dxfId="372"/>
    </tableStyle>
    <tableStyle name="SlicerStyleLight2 2 2 3 2 2 2 2 2 2 2 2 2 2" pivot="0" table="0" count="10" xr9:uid="{A35F1930-D412-4EEF-A384-C39132620583}">
      <tableStyleElement type="wholeTable" dxfId="371"/>
      <tableStyleElement type="headerRow" dxfId="370"/>
    </tableStyle>
    <tableStyle name="SlicerStyleLight2 2 2 3 2 2 2 2 2 2 2 2 2 2 2" pivot="0" table="0" count="10" xr9:uid="{F4C22BCE-6A19-4A54-8996-447D63091349}">
      <tableStyleElement type="wholeTable" dxfId="369"/>
      <tableStyleElement type="headerRow" dxfId="368"/>
    </tableStyle>
    <tableStyle name="SlicerStyleLight2 2 2 3 2 2 2 2 2 2 2 2 2 2 2 2" pivot="0" table="0" count="10" xr9:uid="{1AB155FE-3B77-4B2B-B33A-D7C43F085508}">
      <tableStyleElement type="wholeTable" dxfId="367"/>
      <tableStyleElement type="headerRow" dxfId="366"/>
    </tableStyle>
    <tableStyle name="SlicerStyleLight2 2 2 3 2 2 2 2 2 2 2 2 2 2 2 3" pivot="0" table="0" count="10" xr9:uid="{C0386CE7-14F6-4D43-9663-19D42DBDE585}">
      <tableStyleElement type="wholeTable" dxfId="365"/>
      <tableStyleElement type="headerRow" dxfId="364"/>
    </tableStyle>
    <tableStyle name="SlicerStyleLight2 2 2 3 2 2 2 2 2 2 2 2 2 2 2 3 2" pivot="0" table="0" count="10" xr9:uid="{3698368F-342A-48C9-BFFC-563644515D2A}">
      <tableStyleElement type="wholeTable" dxfId="363"/>
      <tableStyleElement type="headerRow" dxfId="362"/>
    </tableStyle>
    <tableStyle name="SlicerStyleLight2 2 2 3 2 2 2 2 2 2 2 2 2 2 2 3 2 2" pivot="0" table="0" count="10" xr9:uid="{73EEB9CF-7A0E-4575-85D2-90AF66652106}">
      <tableStyleElement type="wholeTable" dxfId="361"/>
      <tableStyleElement type="headerRow" dxfId="360"/>
    </tableStyle>
    <tableStyle name="SlicerStyleLight2 2 2 3 2 2 2 2 2 2 2 2 2 2 2 3 2 2 2" pivot="0" table="0" count="10" xr9:uid="{2AA8EC01-5D2B-44F0-905C-DB4B71E5DD92}">
      <tableStyleElement type="wholeTable" dxfId="283"/>
      <tableStyleElement type="headerRow" dxfId="282"/>
    </tableStyle>
  </tableStyles>
  <colors>
    <mruColors>
      <color rgb="FF214574"/>
      <color rgb="FF2870FF"/>
      <color rgb="FF061B3C"/>
      <color rgb="FF09244A"/>
      <color rgb="FF17365C"/>
      <color rgb="FF596B88"/>
      <color rgb="FFF58BBC"/>
      <color rgb="FFD9DEE7"/>
      <color rgb="FFFFFFFF"/>
      <color rgb="FFB94D7F"/>
    </mruColors>
  </colors>
  <extLst>
    <ext xmlns:x14="http://schemas.microsoft.com/office/spreadsheetml/2009/9/main" uri="{46F421CA-312F-682f-3DD2-61675219B42D}">
      <x14:dxfs count="167">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b/>
            <i val="0"/>
            <sz val="12"/>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b/>
            <i val="0"/>
            <sz val="11"/>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b/>
            <i val="0"/>
            <sz val="14"/>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FFFFFF"/>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FFFFFF"/>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B94D7F"/>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596B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1457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40516D"/>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17365C"/>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A94B7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707488"/>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58BB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5D2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rgb="FF8F315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E84D9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55596B"/>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8B5D6"/>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28245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color rgb="FFDE0875"/>
          </font>
        </dxf>
        <dxf>
          <font>
            <color rgb="FFD70F7D"/>
          </font>
        </dxf>
        <dxf>
          <font>
            <color rgb="FFD70F7D"/>
          </font>
        </dxf>
        <dxf>
          <font>
            <color rgb="FFDE0875"/>
          </font>
        </dxf>
        <dxf>
          <font>
            <color rgb="FFDE0875"/>
          </font>
        </dxf>
        <dxf>
          <font>
            <color rgb="FF475993"/>
          </font>
        </dxf>
        <dxf>
          <font>
            <color rgb="FF242A3B"/>
          </font>
        </dxf>
      </x14:dxfs>
    </ext>
    <ext xmlns:x14="http://schemas.microsoft.com/office/spreadsheetml/2009/9/main" uri="{EB79DEF2-80B8-43e5-95BD-54CBDDF9020C}">
      <x14:slicerStyles defaultSlicerStyle="Slicer Style 3">
        <x14:slicerStyle name="Slicer Style 1"/>
        <x14:slicerStyle name="Slicer Style 2">
          <x14:slicerStyleElements>
            <x14:slicerStyleElement type="unselectedItemWithData" dxfId="166"/>
            <x14:slicerStyleElement type="unselectedItemWithNoData" dxfId="165"/>
            <x14:slicerStyleElement type="selectedItemWithData" dxfId="164"/>
            <x14:slicerStyleElement type="selectedItemWithNoData" dxfId="163"/>
            <x14:slicerStyleElement type="hoveredSelectedItemWithData" dxfId="162"/>
          </x14:slicerStyleElements>
        </x14:slicerStyle>
        <x14:slicerStyle name="Slicer Style 3">
          <x14:slicerStyleElements>
            <x14:slicerStyleElement type="selectedItemWithData" dxfId="161"/>
          </x14:slicerStyleElements>
        </x14:slicerStyle>
        <x14:slicerStyle name="Slicer Style 4">
          <x14:slicerStyleElements>
            <x14:slicerStyleElement type="selectedItemWithData" dxfId="160"/>
          </x14:slicerStyleElements>
        </x14:slicerStyle>
        <x14:slicerStyle name="Slicer Style 5"/>
        <x14:slicerStyle name="Slicer Style 6"/>
        <x14:slicerStyle name="SlicerStyleLight2 2">
          <x14:slicerStyleElements>
            <x14:slicerStyleElement type="unselectedItemWithData" dxfId="159"/>
            <x14:slicerStyleElement type="unselectedItemWithNoData" dxfId="158"/>
            <x14:slicerStyleElement type="selectedItemWithData" dxfId="157"/>
            <x14:slicerStyleElement type="selectedItemWithNoData" dxfId="156"/>
            <x14:slicerStyleElement type="hoveredUnselectedItemWithData" dxfId="155"/>
            <x14:slicerStyleElement type="hoveredSelectedItemWithData" dxfId="154"/>
            <x14:slicerStyleElement type="hoveredUnselectedItemWithNoData" dxfId="153"/>
            <x14:slicerStyleElement type="hoveredSelectedItemWithNoData" dxfId="152"/>
          </x14:slicerStyleElements>
        </x14:slicerStyle>
        <x14:slicerStyle name="SlicerStyleLight2 2 2">
          <x14:slicerStyleElements>
            <x14:slicerStyleElement type="unselectedItemWithData" dxfId="151"/>
            <x14:slicerStyleElement type="unselectedItemWithNoData" dxfId="150"/>
            <x14:slicerStyleElement type="selectedItemWithData" dxfId="149"/>
            <x14:slicerStyleElement type="selectedItemWithNoData" dxfId="148"/>
            <x14:slicerStyleElement type="hoveredUnselectedItemWithData" dxfId="147"/>
            <x14:slicerStyleElement type="hoveredSelectedItemWithData" dxfId="146"/>
            <x14:slicerStyleElement type="hoveredUnselectedItemWithNoData" dxfId="145"/>
            <x14:slicerStyleElement type="hoveredSelectedItemWithNoData" dxfId="144"/>
          </x14:slicerStyleElements>
        </x14:slicerStyle>
        <x14:slicerStyle name="SlicerStyleLight2 2 2 2">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SlicerStyleLight2 2 2 3">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SlicerStyleLight2 2 2 3 2">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Light2 2 2 3 2 2">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Light2 2 2 3 2 2 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Light2 2 2 3 2 2 2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Light2 2 2 3 2 2 2 2 2 2">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Light2 2 2 3 2 2 2 2 2 2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Light2 2 2 3 2 2 2 2 2 2 2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2 2 2 3 2 2 2 2 2 2 2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2 2 2 3 2 2 2 2 2 2 2 2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2 2 2 3 2 2 2 2 2 2 2 2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2 3 2 2 2 2 2 2 2 2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2 3 2 2 2 2 2 2 2 2 2 2 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2 3 2 2 2 2 2 2 2 2 2 2 2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2 3 2 2 2 2 2 2 2 2 2 2 2 3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3 2 2 2 2 2 2 2 2 2 2 2 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[Social-Media-Metrics-Dashboard (version 1) (Recovered).xlsx]report!PivotTable1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Impressions for Platforms</a:t>
            </a:r>
          </a:p>
        </c:rich>
      </c:tx>
      <c:layout>
        <c:manualLayout>
          <c:xMode val="edge"/>
          <c:yMode val="edge"/>
          <c:x val="8.9472767958972521E-2"/>
          <c:y val="3.9473537995927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596B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pivotFmt>
    </c:pivotFmts>
    <c:plotArea>
      <c:layout>
        <c:manualLayout>
          <c:layoutTarget val="inner"/>
          <c:xMode val="edge"/>
          <c:yMode val="edge"/>
          <c:x val="7.0730548313250624E-2"/>
          <c:y val="0.11920193960071894"/>
          <c:w val="0.92149273078141425"/>
          <c:h val="0.72778377604195355"/>
        </c:manualLayout>
      </c:layout>
      <c:lineChart>
        <c:grouping val="standard"/>
        <c:varyColors val="0"/>
        <c:ser>
          <c:idx val="0"/>
          <c:order val="0"/>
          <c:tx>
            <c:strRef>
              <c:f>report!$B$19:$B$20</c:f>
              <c:strCache>
                <c:ptCount val="1"/>
                <c:pt idx="0">
                  <c:v>Faceboock</c:v>
                </c:pt>
              </c:strCache>
            </c:strRef>
          </c:tx>
          <c:spPr>
            <a:ln w="28575" cap="rnd">
              <a:solidFill>
                <a:schemeClr val="accent1"/>
              </a:solidFill>
              <a:round/>
            </a:ln>
            <a:effectLst/>
          </c:spPr>
          <c:marker>
            <c:symbol val="none"/>
          </c:marker>
          <c:cat>
            <c:strRef>
              <c:f>report!$A$21:$A$73</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report!$B$21:$B$73</c:f>
              <c:numCache>
                <c:formatCode>#,##0</c:formatCode>
                <c:ptCount val="52"/>
                <c:pt idx="0">
                  <c:v>10645</c:v>
                </c:pt>
                <c:pt idx="1">
                  <c:v>10667</c:v>
                </c:pt>
                <c:pt idx="2">
                  <c:v>8972</c:v>
                </c:pt>
                <c:pt idx="3">
                  <c:v>9958</c:v>
                </c:pt>
                <c:pt idx="4">
                  <c:v>9636</c:v>
                </c:pt>
                <c:pt idx="5">
                  <c:v>10054</c:v>
                </c:pt>
                <c:pt idx="6">
                  <c:v>9386</c:v>
                </c:pt>
                <c:pt idx="7">
                  <c:v>10231</c:v>
                </c:pt>
                <c:pt idx="8">
                  <c:v>9921</c:v>
                </c:pt>
                <c:pt idx="9">
                  <c:v>9000</c:v>
                </c:pt>
                <c:pt idx="10">
                  <c:v>9413</c:v>
                </c:pt>
                <c:pt idx="11">
                  <c:v>10737</c:v>
                </c:pt>
                <c:pt idx="12">
                  <c:v>10889</c:v>
                </c:pt>
                <c:pt idx="13">
                  <c:v>10845</c:v>
                </c:pt>
                <c:pt idx="14">
                  <c:v>8995</c:v>
                </c:pt>
                <c:pt idx="15">
                  <c:v>8781</c:v>
                </c:pt>
                <c:pt idx="16">
                  <c:v>10117</c:v>
                </c:pt>
                <c:pt idx="17">
                  <c:v>9514</c:v>
                </c:pt>
                <c:pt idx="18">
                  <c:v>9714</c:v>
                </c:pt>
                <c:pt idx="19">
                  <c:v>9973</c:v>
                </c:pt>
                <c:pt idx="20">
                  <c:v>8518</c:v>
                </c:pt>
                <c:pt idx="21">
                  <c:v>10499</c:v>
                </c:pt>
                <c:pt idx="22">
                  <c:v>9221</c:v>
                </c:pt>
                <c:pt idx="23">
                  <c:v>10547</c:v>
                </c:pt>
                <c:pt idx="24">
                  <c:v>10706</c:v>
                </c:pt>
                <c:pt idx="25">
                  <c:v>9980</c:v>
                </c:pt>
                <c:pt idx="26">
                  <c:v>9598</c:v>
                </c:pt>
                <c:pt idx="27">
                  <c:v>9572</c:v>
                </c:pt>
                <c:pt idx="28">
                  <c:v>8833</c:v>
                </c:pt>
                <c:pt idx="29">
                  <c:v>9184</c:v>
                </c:pt>
                <c:pt idx="30">
                  <c:v>8917</c:v>
                </c:pt>
                <c:pt idx="31">
                  <c:v>9426</c:v>
                </c:pt>
                <c:pt idx="32">
                  <c:v>10799</c:v>
                </c:pt>
                <c:pt idx="33">
                  <c:v>9644</c:v>
                </c:pt>
                <c:pt idx="34">
                  <c:v>8655</c:v>
                </c:pt>
                <c:pt idx="35">
                  <c:v>9065</c:v>
                </c:pt>
                <c:pt idx="36">
                  <c:v>10328</c:v>
                </c:pt>
                <c:pt idx="37">
                  <c:v>9918</c:v>
                </c:pt>
                <c:pt idx="38">
                  <c:v>9705</c:v>
                </c:pt>
                <c:pt idx="39">
                  <c:v>8669</c:v>
                </c:pt>
                <c:pt idx="40">
                  <c:v>11300</c:v>
                </c:pt>
                <c:pt idx="41">
                  <c:v>10683</c:v>
                </c:pt>
                <c:pt idx="42">
                  <c:v>12150</c:v>
                </c:pt>
                <c:pt idx="43">
                  <c:v>11542</c:v>
                </c:pt>
                <c:pt idx="44">
                  <c:v>11550</c:v>
                </c:pt>
                <c:pt idx="45">
                  <c:v>10140</c:v>
                </c:pt>
                <c:pt idx="46">
                  <c:v>10780</c:v>
                </c:pt>
                <c:pt idx="47">
                  <c:v>11210</c:v>
                </c:pt>
                <c:pt idx="48">
                  <c:v>11450</c:v>
                </c:pt>
                <c:pt idx="49">
                  <c:v>12520</c:v>
                </c:pt>
                <c:pt idx="50">
                  <c:v>11240</c:v>
                </c:pt>
                <c:pt idx="51">
                  <c:v>11250</c:v>
                </c:pt>
              </c:numCache>
            </c:numRef>
          </c:val>
          <c:smooth val="0"/>
          <c:extLst>
            <c:ext xmlns:c16="http://schemas.microsoft.com/office/drawing/2014/chart" uri="{C3380CC4-5D6E-409C-BE32-E72D297353CC}">
              <c16:uniqueId val="{00000000-7005-451B-A21A-E03771816DF4}"/>
            </c:ext>
          </c:extLst>
        </c:ser>
        <c:ser>
          <c:idx val="1"/>
          <c:order val="1"/>
          <c:tx>
            <c:strRef>
              <c:f>report!$C$19:$C$20</c:f>
              <c:strCache>
                <c:ptCount val="1"/>
                <c:pt idx="0">
                  <c:v>Instgram</c:v>
                </c:pt>
              </c:strCache>
            </c:strRef>
          </c:tx>
          <c:spPr>
            <a:ln w="28575" cap="rnd">
              <a:solidFill>
                <a:srgbClr val="DE0875"/>
              </a:solidFill>
              <a:round/>
            </a:ln>
            <a:effectLst/>
          </c:spPr>
          <c:marker>
            <c:symbol val="none"/>
          </c:marker>
          <c:cat>
            <c:strRef>
              <c:f>report!$A$21:$A$73</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report!$C$21:$C$73</c:f>
              <c:numCache>
                <c:formatCode>#,##0</c:formatCode>
                <c:ptCount val="52"/>
                <c:pt idx="0">
                  <c:v>12138</c:v>
                </c:pt>
                <c:pt idx="1">
                  <c:v>10642</c:v>
                </c:pt>
                <c:pt idx="2">
                  <c:v>12250</c:v>
                </c:pt>
                <c:pt idx="3">
                  <c:v>12090</c:v>
                </c:pt>
                <c:pt idx="4">
                  <c:v>10840</c:v>
                </c:pt>
                <c:pt idx="5">
                  <c:v>11802</c:v>
                </c:pt>
                <c:pt idx="6">
                  <c:v>9120</c:v>
                </c:pt>
                <c:pt idx="7">
                  <c:v>14520</c:v>
                </c:pt>
                <c:pt idx="8">
                  <c:v>10324</c:v>
                </c:pt>
                <c:pt idx="9">
                  <c:v>13580</c:v>
                </c:pt>
                <c:pt idx="10">
                  <c:v>9923</c:v>
                </c:pt>
                <c:pt idx="11">
                  <c:v>10742</c:v>
                </c:pt>
                <c:pt idx="12">
                  <c:v>11150</c:v>
                </c:pt>
                <c:pt idx="13">
                  <c:v>11453</c:v>
                </c:pt>
                <c:pt idx="14">
                  <c:v>8437</c:v>
                </c:pt>
                <c:pt idx="15">
                  <c:v>10226</c:v>
                </c:pt>
                <c:pt idx="16">
                  <c:v>10704</c:v>
                </c:pt>
                <c:pt idx="17">
                  <c:v>10381</c:v>
                </c:pt>
                <c:pt idx="18">
                  <c:v>11930</c:v>
                </c:pt>
                <c:pt idx="19">
                  <c:v>12510</c:v>
                </c:pt>
                <c:pt idx="20">
                  <c:v>10815</c:v>
                </c:pt>
                <c:pt idx="21">
                  <c:v>11020</c:v>
                </c:pt>
                <c:pt idx="22">
                  <c:v>10264</c:v>
                </c:pt>
                <c:pt idx="23">
                  <c:v>14445</c:v>
                </c:pt>
                <c:pt idx="24">
                  <c:v>11965</c:v>
                </c:pt>
                <c:pt idx="25">
                  <c:v>10519</c:v>
                </c:pt>
                <c:pt idx="26">
                  <c:v>10853</c:v>
                </c:pt>
                <c:pt idx="27">
                  <c:v>9244</c:v>
                </c:pt>
                <c:pt idx="28">
                  <c:v>12520</c:v>
                </c:pt>
                <c:pt idx="29">
                  <c:v>10467</c:v>
                </c:pt>
                <c:pt idx="30">
                  <c:v>10222</c:v>
                </c:pt>
                <c:pt idx="31">
                  <c:v>11013</c:v>
                </c:pt>
                <c:pt idx="32">
                  <c:v>10576</c:v>
                </c:pt>
                <c:pt idx="33">
                  <c:v>10525</c:v>
                </c:pt>
                <c:pt idx="34">
                  <c:v>11200</c:v>
                </c:pt>
                <c:pt idx="35">
                  <c:v>11042</c:v>
                </c:pt>
                <c:pt idx="36">
                  <c:v>9770</c:v>
                </c:pt>
                <c:pt idx="37">
                  <c:v>11608</c:v>
                </c:pt>
                <c:pt idx="38">
                  <c:v>9958</c:v>
                </c:pt>
                <c:pt idx="39">
                  <c:v>8253</c:v>
                </c:pt>
                <c:pt idx="40">
                  <c:v>13255</c:v>
                </c:pt>
                <c:pt idx="41">
                  <c:v>11850</c:v>
                </c:pt>
                <c:pt idx="42">
                  <c:v>12962</c:v>
                </c:pt>
                <c:pt idx="43">
                  <c:v>14118</c:v>
                </c:pt>
                <c:pt idx="44">
                  <c:v>13056</c:v>
                </c:pt>
                <c:pt idx="45">
                  <c:v>15399</c:v>
                </c:pt>
                <c:pt idx="46">
                  <c:v>14359</c:v>
                </c:pt>
                <c:pt idx="47">
                  <c:v>13800</c:v>
                </c:pt>
                <c:pt idx="48">
                  <c:v>15299</c:v>
                </c:pt>
                <c:pt idx="49">
                  <c:v>16520</c:v>
                </c:pt>
                <c:pt idx="50">
                  <c:v>15290</c:v>
                </c:pt>
                <c:pt idx="51">
                  <c:v>15200</c:v>
                </c:pt>
              </c:numCache>
            </c:numRef>
          </c:val>
          <c:smooth val="0"/>
          <c:extLst>
            <c:ext xmlns:c16="http://schemas.microsoft.com/office/drawing/2014/chart" uri="{C3380CC4-5D6E-409C-BE32-E72D297353CC}">
              <c16:uniqueId val="{00000032-B8B5-449A-A5A4-791631CA8DBE}"/>
            </c:ext>
          </c:extLst>
        </c:ser>
        <c:ser>
          <c:idx val="2"/>
          <c:order val="2"/>
          <c:tx>
            <c:strRef>
              <c:f>report!$D$19:$D$20</c:f>
              <c:strCache>
                <c:ptCount val="1"/>
                <c:pt idx="0">
                  <c:v>linkedin</c:v>
                </c:pt>
              </c:strCache>
            </c:strRef>
          </c:tx>
          <c:spPr>
            <a:ln w="28575" cap="rnd">
              <a:solidFill>
                <a:srgbClr val="596B88"/>
              </a:solidFill>
              <a:round/>
            </a:ln>
            <a:effectLst/>
          </c:spPr>
          <c:marker>
            <c:symbol val="none"/>
          </c:marker>
          <c:cat>
            <c:strRef>
              <c:f>report!$A$21:$A$73</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report!$D$21:$D$73</c:f>
              <c:numCache>
                <c:formatCode>#,##0</c:formatCode>
                <c:ptCount val="52"/>
                <c:pt idx="0">
                  <c:v>10200</c:v>
                </c:pt>
                <c:pt idx="1">
                  <c:v>9174</c:v>
                </c:pt>
                <c:pt idx="2">
                  <c:v>8165</c:v>
                </c:pt>
                <c:pt idx="3">
                  <c:v>9520</c:v>
                </c:pt>
                <c:pt idx="4">
                  <c:v>8672</c:v>
                </c:pt>
                <c:pt idx="5">
                  <c:v>9149</c:v>
                </c:pt>
                <c:pt idx="6">
                  <c:v>8000</c:v>
                </c:pt>
                <c:pt idx="7">
                  <c:v>8185</c:v>
                </c:pt>
                <c:pt idx="8">
                  <c:v>8532</c:v>
                </c:pt>
                <c:pt idx="9">
                  <c:v>8190</c:v>
                </c:pt>
                <c:pt idx="10">
                  <c:v>7813</c:v>
                </c:pt>
                <c:pt idx="11">
                  <c:v>9341</c:v>
                </c:pt>
                <c:pt idx="12">
                  <c:v>8711</c:v>
                </c:pt>
                <c:pt idx="13">
                  <c:v>9544</c:v>
                </c:pt>
                <c:pt idx="14">
                  <c:v>7466</c:v>
                </c:pt>
                <c:pt idx="15">
                  <c:v>7464</c:v>
                </c:pt>
                <c:pt idx="16">
                  <c:v>9308</c:v>
                </c:pt>
                <c:pt idx="17">
                  <c:v>8372</c:v>
                </c:pt>
                <c:pt idx="18">
                  <c:v>8645</c:v>
                </c:pt>
                <c:pt idx="19">
                  <c:v>9000</c:v>
                </c:pt>
                <c:pt idx="20">
                  <c:v>7837</c:v>
                </c:pt>
                <c:pt idx="21">
                  <c:v>8609</c:v>
                </c:pt>
                <c:pt idx="22">
                  <c:v>8483</c:v>
                </c:pt>
                <c:pt idx="23">
                  <c:v>9387</c:v>
                </c:pt>
                <c:pt idx="24">
                  <c:v>9421</c:v>
                </c:pt>
                <c:pt idx="25">
                  <c:v>8283</c:v>
                </c:pt>
                <c:pt idx="26">
                  <c:v>9520</c:v>
                </c:pt>
                <c:pt idx="27">
                  <c:v>8328</c:v>
                </c:pt>
                <c:pt idx="28">
                  <c:v>7950</c:v>
                </c:pt>
                <c:pt idx="29">
                  <c:v>7990</c:v>
                </c:pt>
                <c:pt idx="30">
                  <c:v>7936</c:v>
                </c:pt>
                <c:pt idx="31">
                  <c:v>8672</c:v>
                </c:pt>
                <c:pt idx="32">
                  <c:v>8963</c:v>
                </c:pt>
                <c:pt idx="33">
                  <c:v>8420</c:v>
                </c:pt>
                <c:pt idx="34">
                  <c:v>7616</c:v>
                </c:pt>
                <c:pt idx="35">
                  <c:v>7887</c:v>
                </c:pt>
                <c:pt idx="36">
                  <c:v>8882</c:v>
                </c:pt>
                <c:pt idx="37">
                  <c:v>8728</c:v>
                </c:pt>
                <c:pt idx="38">
                  <c:v>8735</c:v>
                </c:pt>
                <c:pt idx="39">
                  <c:v>7369</c:v>
                </c:pt>
                <c:pt idx="40">
                  <c:v>9605</c:v>
                </c:pt>
                <c:pt idx="41">
                  <c:v>9187</c:v>
                </c:pt>
                <c:pt idx="42">
                  <c:v>10206</c:v>
                </c:pt>
                <c:pt idx="43">
                  <c:v>10157</c:v>
                </c:pt>
                <c:pt idx="44">
                  <c:v>10280</c:v>
                </c:pt>
                <c:pt idx="45">
                  <c:v>11240</c:v>
                </c:pt>
                <c:pt idx="46">
                  <c:v>10558</c:v>
                </c:pt>
                <c:pt idx="47">
                  <c:v>10253</c:v>
                </c:pt>
                <c:pt idx="48">
                  <c:v>10850</c:v>
                </c:pt>
                <c:pt idx="49">
                  <c:v>10141</c:v>
                </c:pt>
                <c:pt idx="50">
                  <c:v>11000</c:v>
                </c:pt>
                <c:pt idx="51">
                  <c:v>10350</c:v>
                </c:pt>
              </c:numCache>
            </c:numRef>
          </c:val>
          <c:smooth val="0"/>
          <c:extLst>
            <c:ext xmlns:c16="http://schemas.microsoft.com/office/drawing/2014/chart" uri="{C3380CC4-5D6E-409C-BE32-E72D297353CC}">
              <c16:uniqueId val="{00000034-B8B5-449A-A5A4-791631CA8DBE}"/>
            </c:ext>
          </c:extLst>
        </c:ser>
        <c:ser>
          <c:idx val="3"/>
          <c:order val="3"/>
          <c:tx>
            <c:strRef>
              <c:f>report!$E$19:$E$20</c:f>
              <c:strCache>
                <c:ptCount val="1"/>
                <c:pt idx="0">
                  <c:v>x</c:v>
                </c:pt>
              </c:strCache>
            </c:strRef>
          </c:tx>
          <c:spPr>
            <a:ln w="28575" cap="rnd">
              <a:solidFill>
                <a:schemeClr val="accent4"/>
              </a:solidFill>
              <a:round/>
            </a:ln>
            <a:effectLst/>
          </c:spPr>
          <c:marker>
            <c:symbol val="none"/>
          </c:marker>
          <c:dPt>
            <c:idx val="40"/>
            <c:marker>
              <c:symbol val="none"/>
            </c:marker>
            <c:bubble3D val="0"/>
            <c:spPr>
              <a:ln w="28575" cap="rnd">
                <a:solidFill>
                  <a:schemeClr val="accent4"/>
                </a:solidFill>
                <a:round/>
              </a:ln>
              <a:effectLst/>
            </c:spPr>
          </c:dPt>
          <c:cat>
            <c:strRef>
              <c:f>report!$A$21:$A$73</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report!$E$21:$E$73</c:f>
              <c:numCache>
                <c:formatCode>#,##0</c:formatCode>
                <c:ptCount val="52"/>
                <c:pt idx="0">
                  <c:v>14808</c:v>
                </c:pt>
                <c:pt idx="1">
                  <c:v>12451</c:v>
                </c:pt>
                <c:pt idx="2">
                  <c:v>14945</c:v>
                </c:pt>
                <c:pt idx="3">
                  <c:v>12695</c:v>
                </c:pt>
                <c:pt idx="4">
                  <c:v>12032</c:v>
                </c:pt>
                <c:pt idx="5">
                  <c:v>14871</c:v>
                </c:pt>
                <c:pt idx="6">
                  <c:v>11400</c:v>
                </c:pt>
                <c:pt idx="7">
                  <c:v>17714</c:v>
                </c:pt>
                <c:pt idx="8">
                  <c:v>12389</c:v>
                </c:pt>
                <c:pt idx="9">
                  <c:v>17247</c:v>
                </c:pt>
                <c:pt idx="10">
                  <c:v>10419</c:v>
                </c:pt>
                <c:pt idx="11">
                  <c:v>12246</c:v>
                </c:pt>
                <c:pt idx="12">
                  <c:v>13380</c:v>
                </c:pt>
                <c:pt idx="13">
                  <c:v>14774</c:v>
                </c:pt>
                <c:pt idx="14">
                  <c:v>10520</c:v>
                </c:pt>
                <c:pt idx="15">
                  <c:v>13498</c:v>
                </c:pt>
                <c:pt idx="16">
                  <c:v>13808</c:v>
                </c:pt>
                <c:pt idx="17">
                  <c:v>11419</c:v>
                </c:pt>
                <c:pt idx="18">
                  <c:v>13720</c:v>
                </c:pt>
                <c:pt idx="19">
                  <c:v>15638</c:v>
                </c:pt>
                <c:pt idx="20">
                  <c:v>11572</c:v>
                </c:pt>
                <c:pt idx="21">
                  <c:v>13224</c:v>
                </c:pt>
                <c:pt idx="22">
                  <c:v>11598</c:v>
                </c:pt>
                <c:pt idx="23">
                  <c:v>16178</c:v>
                </c:pt>
                <c:pt idx="24">
                  <c:v>15794</c:v>
                </c:pt>
                <c:pt idx="25">
                  <c:v>11361</c:v>
                </c:pt>
                <c:pt idx="26">
                  <c:v>11504</c:v>
                </c:pt>
                <c:pt idx="27">
                  <c:v>11555</c:v>
                </c:pt>
                <c:pt idx="28">
                  <c:v>15274</c:v>
                </c:pt>
                <c:pt idx="29">
                  <c:v>13502</c:v>
                </c:pt>
                <c:pt idx="30">
                  <c:v>12062</c:v>
                </c:pt>
                <c:pt idx="31">
                  <c:v>14317</c:v>
                </c:pt>
                <c:pt idx="32">
                  <c:v>13749</c:v>
                </c:pt>
                <c:pt idx="33">
                  <c:v>13472</c:v>
                </c:pt>
                <c:pt idx="34">
                  <c:v>11872</c:v>
                </c:pt>
                <c:pt idx="35">
                  <c:v>13250</c:v>
                </c:pt>
                <c:pt idx="36">
                  <c:v>11138</c:v>
                </c:pt>
                <c:pt idx="37">
                  <c:v>14858</c:v>
                </c:pt>
                <c:pt idx="38">
                  <c:v>12448</c:v>
                </c:pt>
                <c:pt idx="39">
                  <c:v>14500</c:v>
                </c:pt>
                <c:pt idx="40">
                  <c:v>15243</c:v>
                </c:pt>
                <c:pt idx="41">
                  <c:v>15405</c:v>
                </c:pt>
                <c:pt idx="42">
                  <c:v>15820</c:v>
                </c:pt>
                <c:pt idx="43">
                  <c:v>18777</c:v>
                </c:pt>
                <c:pt idx="44">
                  <c:v>16059</c:v>
                </c:pt>
                <c:pt idx="45">
                  <c:v>18017</c:v>
                </c:pt>
                <c:pt idx="46">
                  <c:v>17231</c:v>
                </c:pt>
                <c:pt idx="47">
                  <c:v>17664</c:v>
                </c:pt>
                <c:pt idx="48">
                  <c:v>18359</c:v>
                </c:pt>
                <c:pt idx="49">
                  <c:v>17200</c:v>
                </c:pt>
                <c:pt idx="50">
                  <c:v>18500</c:v>
                </c:pt>
                <c:pt idx="51">
                  <c:v>16112</c:v>
                </c:pt>
              </c:numCache>
            </c:numRef>
          </c:val>
          <c:smooth val="0"/>
          <c:extLst>
            <c:ext xmlns:c16="http://schemas.microsoft.com/office/drawing/2014/chart" uri="{C3380CC4-5D6E-409C-BE32-E72D297353CC}">
              <c16:uniqueId val="{00000035-B8B5-449A-A5A4-791631CA8DBE}"/>
            </c:ext>
          </c:extLst>
        </c:ser>
        <c:dLbls>
          <c:showLegendKey val="0"/>
          <c:showVal val="0"/>
          <c:showCatName val="0"/>
          <c:showSerName val="0"/>
          <c:showPercent val="0"/>
          <c:showBubbleSize val="0"/>
        </c:dLbls>
        <c:smooth val="0"/>
        <c:axId val="1771037216"/>
        <c:axId val="1770188080"/>
      </c:lineChart>
      <c:catAx>
        <c:axId val="17710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0188080"/>
        <c:crosses val="autoZero"/>
        <c:auto val="1"/>
        <c:lblAlgn val="ctr"/>
        <c:lblOffset val="100"/>
        <c:noMultiLvlLbl val="0"/>
      </c:catAx>
      <c:valAx>
        <c:axId val="1770188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1037216"/>
        <c:crosses val="autoZero"/>
        <c:crossBetween val="between"/>
      </c:valAx>
      <c:spPr>
        <a:solidFill>
          <a:srgbClr val="061B3C"/>
        </a:solidFill>
        <a:ln>
          <a:solidFill>
            <a:srgbClr val="242A3B"/>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1B3C"/>
    </a:solidFill>
    <a:ln w="9525" cap="flat" cmpd="sng" algn="ctr">
      <a:solidFill>
        <a:srgbClr val="214574"/>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[Social-Media-Metrics-Dashboard (version 1) (Recovered).xlsx]report!PivotTable2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solidFill>
              </a:rPr>
              <a:t>Over</a:t>
            </a:r>
            <a:r>
              <a:rPr lang="en-US" sz="1600" b="1" baseline="0">
                <a:solidFill>
                  <a:schemeClr val="bg2"/>
                </a:solidFill>
              </a:rPr>
              <a:t>all Platforms Performance </a:t>
            </a:r>
            <a:endParaRPr lang="en-US" sz="1600" b="1">
              <a:solidFill>
                <a:schemeClr val="bg2"/>
              </a:solidFill>
            </a:endParaRPr>
          </a:p>
        </c:rich>
      </c:tx>
      <c:layout>
        <c:manualLayout>
          <c:xMode val="edge"/>
          <c:yMode val="edge"/>
          <c:x val="5.9754272918658723E-2"/>
          <c:y val="3.0880291125227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E32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DE08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6960669979623"/>
          <c:y val="0.18018182320981571"/>
          <c:w val="0.85524799695478759"/>
          <c:h val="0.61943809200096189"/>
        </c:manualLayout>
      </c:layout>
      <c:barChart>
        <c:barDir val="col"/>
        <c:grouping val="clustered"/>
        <c:varyColors val="0"/>
        <c:ser>
          <c:idx val="0"/>
          <c:order val="0"/>
          <c:tx>
            <c:strRef>
              <c:f>report!$B$12</c:f>
              <c:strCache>
                <c:ptCount val="1"/>
                <c:pt idx="0">
                  <c:v>Total Likes</c:v>
                </c:pt>
              </c:strCache>
            </c:strRef>
          </c:tx>
          <c:spPr>
            <a:solidFill>
              <a:srgbClr val="6E32A0"/>
            </a:solidFill>
            <a:ln>
              <a:noFill/>
            </a:ln>
            <a:effectLst/>
          </c:spPr>
          <c:invertIfNegative val="0"/>
          <c:cat>
            <c:strRef>
              <c:f>report!$A$13:$A$17</c:f>
              <c:strCache>
                <c:ptCount val="4"/>
                <c:pt idx="0">
                  <c:v>Faceboock</c:v>
                </c:pt>
                <c:pt idx="1">
                  <c:v>Instgram</c:v>
                </c:pt>
                <c:pt idx="2">
                  <c:v>linkedin</c:v>
                </c:pt>
                <c:pt idx="3">
                  <c:v>x</c:v>
                </c:pt>
              </c:strCache>
            </c:strRef>
          </c:cat>
          <c:val>
            <c:numRef>
              <c:f>report!$B$13:$B$17</c:f>
              <c:numCache>
                <c:formatCode>#,##0</c:formatCode>
                <c:ptCount val="4"/>
                <c:pt idx="0">
                  <c:v>23516</c:v>
                </c:pt>
                <c:pt idx="1">
                  <c:v>62610</c:v>
                </c:pt>
                <c:pt idx="2">
                  <c:v>54101</c:v>
                </c:pt>
                <c:pt idx="3">
                  <c:v>75811</c:v>
                </c:pt>
              </c:numCache>
            </c:numRef>
          </c:val>
          <c:extLst>
            <c:ext xmlns:c16="http://schemas.microsoft.com/office/drawing/2014/chart" uri="{C3380CC4-5D6E-409C-BE32-E72D297353CC}">
              <c16:uniqueId val="{00000000-DB85-4B2C-87F9-B05F83741699}"/>
            </c:ext>
          </c:extLst>
        </c:ser>
        <c:ser>
          <c:idx val="1"/>
          <c:order val="1"/>
          <c:tx>
            <c:strRef>
              <c:f>report!$C$12</c:f>
              <c:strCache>
                <c:ptCount val="1"/>
                <c:pt idx="0">
                  <c:v>total Post Reach</c:v>
                </c:pt>
              </c:strCache>
            </c:strRef>
          </c:tx>
          <c:spPr>
            <a:solidFill>
              <a:schemeClr val="accent1"/>
            </a:solidFill>
            <a:ln>
              <a:noFill/>
            </a:ln>
            <a:effectLst/>
          </c:spPr>
          <c:invertIfNegative val="0"/>
          <c:cat>
            <c:strRef>
              <c:f>report!$A$13:$A$17</c:f>
              <c:strCache>
                <c:ptCount val="4"/>
                <c:pt idx="0">
                  <c:v>Faceboock</c:v>
                </c:pt>
                <c:pt idx="1">
                  <c:v>Instgram</c:v>
                </c:pt>
                <c:pt idx="2">
                  <c:v>linkedin</c:v>
                </c:pt>
                <c:pt idx="3">
                  <c:v>x</c:v>
                </c:pt>
              </c:strCache>
            </c:strRef>
          </c:cat>
          <c:val>
            <c:numRef>
              <c:f>report!$C$13:$C$17</c:f>
              <c:numCache>
                <c:formatCode>#,##0</c:formatCode>
                <c:ptCount val="4"/>
                <c:pt idx="0">
                  <c:v>414739</c:v>
                </c:pt>
                <c:pt idx="1">
                  <c:v>431067</c:v>
                </c:pt>
                <c:pt idx="2">
                  <c:v>371601</c:v>
                </c:pt>
                <c:pt idx="3">
                  <c:v>426091</c:v>
                </c:pt>
              </c:numCache>
            </c:numRef>
          </c:val>
          <c:extLst>
            <c:ext xmlns:c16="http://schemas.microsoft.com/office/drawing/2014/chart" uri="{C3380CC4-5D6E-409C-BE32-E72D297353CC}">
              <c16:uniqueId val="{00000001-DB85-4B2C-87F9-B05F83741699}"/>
            </c:ext>
          </c:extLst>
        </c:ser>
        <c:ser>
          <c:idx val="2"/>
          <c:order val="2"/>
          <c:tx>
            <c:strRef>
              <c:f>report!$D$12</c:f>
              <c:strCache>
                <c:ptCount val="1"/>
                <c:pt idx="0">
                  <c:v>Total Impressions</c:v>
                </c:pt>
              </c:strCache>
            </c:strRef>
          </c:tx>
          <c:spPr>
            <a:solidFill>
              <a:srgbClr val="DE0875"/>
            </a:solidFill>
            <a:ln>
              <a:noFill/>
            </a:ln>
            <a:effectLst/>
          </c:spPr>
          <c:invertIfNegative val="0"/>
          <c:cat>
            <c:strRef>
              <c:f>report!$A$13:$A$17</c:f>
              <c:strCache>
                <c:ptCount val="4"/>
                <c:pt idx="0">
                  <c:v>Faceboock</c:v>
                </c:pt>
                <c:pt idx="1">
                  <c:v>Instgram</c:v>
                </c:pt>
                <c:pt idx="2">
                  <c:v>linkedin</c:v>
                </c:pt>
                <c:pt idx="3">
                  <c:v>x</c:v>
                </c:pt>
              </c:strCache>
            </c:strRef>
          </c:cat>
          <c:val>
            <c:numRef>
              <c:f>report!$D$13:$D$17</c:f>
              <c:numCache>
                <c:formatCode>#,##0</c:formatCode>
                <c:ptCount val="4"/>
                <c:pt idx="0">
                  <c:v>525047</c:v>
                </c:pt>
                <c:pt idx="1">
                  <c:v>612149</c:v>
                </c:pt>
                <c:pt idx="2">
                  <c:v>466294</c:v>
                </c:pt>
                <c:pt idx="3">
                  <c:v>737589</c:v>
                </c:pt>
              </c:numCache>
            </c:numRef>
          </c:val>
          <c:extLst>
            <c:ext xmlns:c16="http://schemas.microsoft.com/office/drawing/2014/chart" uri="{C3380CC4-5D6E-409C-BE32-E72D297353CC}">
              <c16:uniqueId val="{00000002-DB85-4B2C-87F9-B05F83741699}"/>
            </c:ext>
          </c:extLst>
        </c:ser>
        <c:ser>
          <c:idx val="3"/>
          <c:order val="3"/>
          <c:tx>
            <c:strRef>
              <c:f>report!$E$12</c:f>
              <c:strCache>
                <c:ptCount val="1"/>
                <c:pt idx="0">
                  <c:v>Total New Fans</c:v>
                </c:pt>
              </c:strCache>
            </c:strRef>
          </c:tx>
          <c:spPr>
            <a:solidFill>
              <a:schemeClr val="accent4"/>
            </a:solidFill>
            <a:ln>
              <a:noFill/>
            </a:ln>
            <a:effectLst/>
          </c:spPr>
          <c:invertIfNegative val="0"/>
          <c:cat>
            <c:strRef>
              <c:f>report!$A$13:$A$17</c:f>
              <c:strCache>
                <c:ptCount val="4"/>
                <c:pt idx="0">
                  <c:v>Faceboock</c:v>
                </c:pt>
                <c:pt idx="1">
                  <c:v>Instgram</c:v>
                </c:pt>
                <c:pt idx="2">
                  <c:v>linkedin</c:v>
                </c:pt>
                <c:pt idx="3">
                  <c:v>x</c:v>
                </c:pt>
              </c:strCache>
            </c:strRef>
          </c:cat>
          <c:val>
            <c:numRef>
              <c:f>report!$E$13:$E$17</c:f>
              <c:numCache>
                <c:formatCode>#,##0</c:formatCode>
                <c:ptCount val="4"/>
                <c:pt idx="0">
                  <c:v>842</c:v>
                </c:pt>
                <c:pt idx="1">
                  <c:v>1193</c:v>
                </c:pt>
                <c:pt idx="2">
                  <c:v>850</c:v>
                </c:pt>
                <c:pt idx="3">
                  <c:v>1310</c:v>
                </c:pt>
              </c:numCache>
            </c:numRef>
          </c:val>
          <c:extLst>
            <c:ext xmlns:c16="http://schemas.microsoft.com/office/drawing/2014/chart" uri="{C3380CC4-5D6E-409C-BE32-E72D297353CC}">
              <c16:uniqueId val="{00000003-DB85-4B2C-87F9-B05F83741699}"/>
            </c:ext>
          </c:extLst>
        </c:ser>
        <c:dLbls>
          <c:showLegendKey val="0"/>
          <c:showVal val="0"/>
          <c:showCatName val="0"/>
          <c:showSerName val="0"/>
          <c:showPercent val="0"/>
          <c:showBubbleSize val="0"/>
        </c:dLbls>
        <c:gapWidth val="150"/>
        <c:axId val="1771037216"/>
        <c:axId val="1770188080"/>
      </c:barChart>
      <c:catAx>
        <c:axId val="17710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70188080"/>
        <c:crosses val="autoZero"/>
        <c:auto val="1"/>
        <c:lblAlgn val="ctr"/>
        <c:lblOffset val="100"/>
        <c:noMultiLvlLbl val="0"/>
      </c:catAx>
      <c:valAx>
        <c:axId val="1770188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71037216"/>
        <c:crosses val="autoZero"/>
        <c:crossBetween val="between"/>
      </c:valAx>
      <c:spPr>
        <a:solidFill>
          <a:srgbClr val="061B3C"/>
        </a:solidFill>
        <a:ln>
          <a:solidFill>
            <a:srgbClr val="242A3B"/>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solidFill>
      <a:srgbClr val="061B3C"/>
    </a:solidFill>
    <a:ln w="9525" cap="flat" cmpd="sng" algn="ctr">
      <a:solidFill>
        <a:srgbClr val="214574"/>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[Social-Media-Metrics-Dashboard (version 1) (Recovered).xlsx]report!PivotTable3</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2"/>
                </a:solidFill>
              </a:rPr>
              <a:t>Average Response Rate Performance by Platform</a:t>
            </a:r>
            <a:endParaRPr lang="en-US" sz="1600" b="1">
              <a:solidFill>
                <a:schemeClr val="bg2"/>
              </a:solidFill>
            </a:endParaRPr>
          </a:p>
        </c:rich>
      </c:tx>
      <c:layout>
        <c:manualLayout>
          <c:xMode val="edge"/>
          <c:yMode val="edge"/>
          <c:x val="3.4217781096771233E-2"/>
          <c:y val="3.979468888031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7ADD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report!$H$25</c:f>
              <c:strCache>
                <c:ptCount val="1"/>
                <c:pt idx="0">
                  <c:v>Total</c:v>
                </c:pt>
              </c:strCache>
            </c:strRef>
          </c:tx>
          <c:spPr>
            <a:solidFill>
              <a:schemeClr val="accent1"/>
            </a:solidFill>
            <a:ln>
              <a:noFill/>
            </a:ln>
            <a:effectLst/>
          </c:spPr>
          <c:invertIfNegative val="0"/>
          <c:cat>
            <c:strRef>
              <c:f>report!$G$26:$G$30</c:f>
              <c:strCache>
                <c:ptCount val="4"/>
                <c:pt idx="0">
                  <c:v>Faceboock</c:v>
                </c:pt>
                <c:pt idx="1">
                  <c:v>Instgram</c:v>
                </c:pt>
                <c:pt idx="2">
                  <c:v>linkedin</c:v>
                </c:pt>
                <c:pt idx="3">
                  <c:v>x</c:v>
                </c:pt>
              </c:strCache>
            </c:strRef>
          </c:cat>
          <c:val>
            <c:numRef>
              <c:f>report!$H$26:$H$30</c:f>
              <c:numCache>
                <c:formatCode>0%</c:formatCode>
                <c:ptCount val="4"/>
                <c:pt idx="0">
                  <c:v>0.84288461538461523</c:v>
                </c:pt>
                <c:pt idx="1">
                  <c:v>0.85115384615384615</c:v>
                </c:pt>
                <c:pt idx="2">
                  <c:v>0.85057692307692301</c:v>
                </c:pt>
                <c:pt idx="3">
                  <c:v>0.85019230769230769</c:v>
                </c:pt>
              </c:numCache>
            </c:numRef>
          </c:val>
          <c:extLst>
            <c:ext xmlns:c16="http://schemas.microsoft.com/office/drawing/2014/chart" uri="{C3380CC4-5D6E-409C-BE32-E72D297353CC}">
              <c16:uniqueId val="{00000009-F3F8-4E14-9E16-08DBFB2F6F97}"/>
            </c:ext>
          </c:extLst>
        </c:ser>
        <c:dLbls>
          <c:showLegendKey val="0"/>
          <c:showVal val="0"/>
          <c:showCatName val="0"/>
          <c:showSerName val="0"/>
          <c:showPercent val="0"/>
          <c:showBubbleSize val="0"/>
        </c:dLbls>
        <c:gapWidth val="150"/>
        <c:axId val="1771037216"/>
        <c:axId val="1770188080"/>
      </c:barChart>
      <c:catAx>
        <c:axId val="177103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70188080"/>
        <c:crosses val="autoZero"/>
        <c:auto val="1"/>
        <c:lblAlgn val="ctr"/>
        <c:lblOffset val="100"/>
        <c:noMultiLvlLbl val="0"/>
      </c:catAx>
      <c:valAx>
        <c:axId val="17701880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71037216"/>
        <c:crosses val="autoZero"/>
        <c:crossBetween val="between"/>
      </c:valAx>
      <c:spPr>
        <a:solidFill>
          <a:srgbClr val="061B3C"/>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chart>
  <c:spPr>
    <a:solidFill>
      <a:srgbClr val="061B3C"/>
    </a:solidFill>
    <a:ln w="9525" cap="flat" cmpd="sng" algn="ctr">
      <a:solidFill>
        <a:srgbClr val="214574"/>
      </a:solid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[Social-Media-Metrics-Dashboard (version 1) (Recovered).xlsx]report!PivotTable6</c:name>
    <c:fmtId val="38"/>
  </c:pivotSource>
  <c:chart>
    <c:title>
      <c:tx>
        <c:rich>
          <a:bodyPr rot="0" spcFirstLastPara="1" vertOverflow="ellipsis" vert="horz" wrap="square" anchor="ctr" anchorCtr="1"/>
          <a:lstStyle/>
          <a:p>
            <a:pPr>
              <a:defRPr sz="1400" b="0" i="0" u="none" strike="noStrike" kern="1200" spc="0" baseline="0">
                <a:solidFill>
                  <a:sysClr val="window" lastClr="FFFFFF"/>
                </a:solidFill>
                <a:latin typeface="+mn-lt"/>
                <a:ea typeface="+mn-ea"/>
                <a:cs typeface="+mn-cs"/>
              </a:defRPr>
            </a:pPr>
            <a:r>
              <a:rPr lang="en-US"/>
              <a:t>Audience Growth Rate Trend by Week</a:t>
            </a:r>
          </a:p>
        </c:rich>
      </c:tx>
      <c:layout>
        <c:manualLayout>
          <c:xMode val="edge"/>
          <c:yMode val="edge"/>
          <c:x val="5.8235001906076223E-2"/>
          <c:y val="2.6260275454536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7ADD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4"/>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ADD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4"/>
            </a:solidFill>
            <a:round/>
          </a:ln>
          <a:effectLst/>
        </c:spPr>
        <c:marker>
          <c:symbol val="none"/>
        </c:marker>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7ADD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4"/>
            </a:solidFill>
            <a:round/>
          </a:ln>
          <a:effectLst/>
        </c:spPr>
        <c:marker>
          <c:symbol val="none"/>
        </c:marker>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7ADD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pivotFmt>
    </c:pivotFmts>
    <c:plotArea>
      <c:layout>
        <c:manualLayout>
          <c:layoutTarget val="inner"/>
          <c:xMode val="edge"/>
          <c:yMode val="edge"/>
          <c:x val="7.0730548313250624E-2"/>
          <c:y val="0.11920193960071894"/>
          <c:w val="0.92149273078141425"/>
          <c:h val="0.69305673476698093"/>
        </c:manualLayout>
      </c:layout>
      <c:lineChart>
        <c:grouping val="standard"/>
        <c:varyColors val="0"/>
        <c:ser>
          <c:idx val="0"/>
          <c:order val="0"/>
          <c:tx>
            <c:strRef>
              <c:f>report!$M$8:$M$9</c:f>
              <c:strCache>
                <c:ptCount val="1"/>
                <c:pt idx="0">
                  <c:v>Faceboock</c:v>
                </c:pt>
              </c:strCache>
            </c:strRef>
          </c:tx>
          <c:spPr>
            <a:ln w="28575" cap="rnd">
              <a:solidFill>
                <a:schemeClr val="accent1"/>
              </a:solidFill>
              <a:round/>
            </a:ln>
            <a:effectLst/>
          </c:spPr>
          <c:marker>
            <c:symbol val="none"/>
          </c:marker>
          <c:cat>
            <c:strRef>
              <c:f>report!$L$10:$L$62</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report!$M$10:$M$62</c:f>
              <c:numCache>
                <c:formatCode>#,##0</c:formatCode>
                <c:ptCount val="52"/>
                <c:pt idx="0">
                  <c:v>18</c:v>
                </c:pt>
                <c:pt idx="1">
                  <c:v>20</c:v>
                </c:pt>
                <c:pt idx="2">
                  <c:v>12</c:v>
                </c:pt>
                <c:pt idx="3">
                  <c:v>12</c:v>
                </c:pt>
                <c:pt idx="4">
                  <c:v>10</c:v>
                </c:pt>
                <c:pt idx="5">
                  <c:v>23</c:v>
                </c:pt>
                <c:pt idx="6">
                  <c:v>11</c:v>
                </c:pt>
                <c:pt idx="7">
                  <c:v>11</c:v>
                </c:pt>
                <c:pt idx="8">
                  <c:v>18</c:v>
                </c:pt>
                <c:pt idx="9">
                  <c:v>15</c:v>
                </c:pt>
                <c:pt idx="10">
                  <c:v>24</c:v>
                </c:pt>
                <c:pt idx="11">
                  <c:v>20</c:v>
                </c:pt>
                <c:pt idx="12">
                  <c:v>16</c:v>
                </c:pt>
                <c:pt idx="13">
                  <c:v>23</c:v>
                </c:pt>
                <c:pt idx="14">
                  <c:v>10</c:v>
                </c:pt>
                <c:pt idx="15">
                  <c:v>24</c:v>
                </c:pt>
                <c:pt idx="16">
                  <c:v>25</c:v>
                </c:pt>
                <c:pt idx="17">
                  <c:v>12</c:v>
                </c:pt>
                <c:pt idx="18">
                  <c:v>17</c:v>
                </c:pt>
                <c:pt idx="19">
                  <c:v>23</c:v>
                </c:pt>
                <c:pt idx="20">
                  <c:v>8</c:v>
                </c:pt>
                <c:pt idx="21">
                  <c:v>14</c:v>
                </c:pt>
                <c:pt idx="22">
                  <c:v>24</c:v>
                </c:pt>
                <c:pt idx="23">
                  <c:v>19</c:v>
                </c:pt>
                <c:pt idx="24">
                  <c:v>12</c:v>
                </c:pt>
                <c:pt idx="25">
                  <c:v>12</c:v>
                </c:pt>
                <c:pt idx="26">
                  <c:v>11</c:v>
                </c:pt>
                <c:pt idx="27">
                  <c:v>15</c:v>
                </c:pt>
                <c:pt idx="28">
                  <c:v>11</c:v>
                </c:pt>
                <c:pt idx="29">
                  <c:v>8</c:v>
                </c:pt>
                <c:pt idx="30">
                  <c:v>23</c:v>
                </c:pt>
                <c:pt idx="31">
                  <c:v>18</c:v>
                </c:pt>
                <c:pt idx="32">
                  <c:v>21</c:v>
                </c:pt>
                <c:pt idx="33">
                  <c:v>11</c:v>
                </c:pt>
                <c:pt idx="34">
                  <c:v>22</c:v>
                </c:pt>
                <c:pt idx="35">
                  <c:v>15</c:v>
                </c:pt>
                <c:pt idx="36">
                  <c:v>8</c:v>
                </c:pt>
                <c:pt idx="37">
                  <c:v>13</c:v>
                </c:pt>
                <c:pt idx="38">
                  <c:v>25</c:v>
                </c:pt>
                <c:pt idx="39">
                  <c:v>17</c:v>
                </c:pt>
                <c:pt idx="40">
                  <c:v>17</c:v>
                </c:pt>
                <c:pt idx="41">
                  <c:v>10</c:v>
                </c:pt>
                <c:pt idx="42">
                  <c:v>12</c:v>
                </c:pt>
                <c:pt idx="43">
                  <c:v>18</c:v>
                </c:pt>
                <c:pt idx="44">
                  <c:v>9</c:v>
                </c:pt>
                <c:pt idx="45">
                  <c:v>22</c:v>
                </c:pt>
                <c:pt idx="46">
                  <c:v>18</c:v>
                </c:pt>
                <c:pt idx="47">
                  <c:v>22</c:v>
                </c:pt>
                <c:pt idx="48">
                  <c:v>20</c:v>
                </c:pt>
                <c:pt idx="49">
                  <c:v>11</c:v>
                </c:pt>
                <c:pt idx="50">
                  <c:v>9</c:v>
                </c:pt>
                <c:pt idx="51">
                  <c:v>23</c:v>
                </c:pt>
              </c:numCache>
            </c:numRef>
          </c:val>
          <c:smooth val="0"/>
          <c:extLst>
            <c:ext xmlns:c16="http://schemas.microsoft.com/office/drawing/2014/chart" uri="{C3380CC4-5D6E-409C-BE32-E72D297353CC}">
              <c16:uniqueId val="{00000000-CFF1-4FF5-B0D3-0631D2665CDD}"/>
            </c:ext>
          </c:extLst>
        </c:ser>
        <c:ser>
          <c:idx val="1"/>
          <c:order val="1"/>
          <c:tx>
            <c:strRef>
              <c:f>report!$N$8:$N$9</c:f>
              <c:strCache>
                <c:ptCount val="1"/>
                <c:pt idx="0">
                  <c:v>Instgram</c:v>
                </c:pt>
              </c:strCache>
            </c:strRef>
          </c:tx>
          <c:spPr>
            <a:ln w="28575" cap="rnd">
              <a:solidFill>
                <a:srgbClr val="DE0875"/>
              </a:solidFill>
              <a:round/>
            </a:ln>
            <a:effectLst/>
          </c:spPr>
          <c:marker>
            <c:symbol val="none"/>
          </c:marker>
          <c:cat>
            <c:strRef>
              <c:f>report!$L$10:$L$62</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report!$N$10:$N$62</c:f>
              <c:numCache>
                <c:formatCode>#,##0</c:formatCode>
                <c:ptCount val="52"/>
                <c:pt idx="0">
                  <c:v>23</c:v>
                </c:pt>
                <c:pt idx="1">
                  <c:v>30</c:v>
                </c:pt>
                <c:pt idx="2">
                  <c:v>15</c:v>
                </c:pt>
                <c:pt idx="3">
                  <c:v>14</c:v>
                </c:pt>
                <c:pt idx="4">
                  <c:v>12</c:v>
                </c:pt>
                <c:pt idx="5">
                  <c:v>34</c:v>
                </c:pt>
                <c:pt idx="6">
                  <c:v>18</c:v>
                </c:pt>
                <c:pt idx="7">
                  <c:v>15</c:v>
                </c:pt>
                <c:pt idx="8">
                  <c:v>27</c:v>
                </c:pt>
                <c:pt idx="9">
                  <c:v>18</c:v>
                </c:pt>
                <c:pt idx="10">
                  <c:v>35</c:v>
                </c:pt>
                <c:pt idx="11">
                  <c:v>33</c:v>
                </c:pt>
                <c:pt idx="12">
                  <c:v>24</c:v>
                </c:pt>
                <c:pt idx="13">
                  <c:v>26</c:v>
                </c:pt>
                <c:pt idx="14">
                  <c:v>17</c:v>
                </c:pt>
                <c:pt idx="15">
                  <c:v>37</c:v>
                </c:pt>
                <c:pt idx="16">
                  <c:v>36</c:v>
                </c:pt>
                <c:pt idx="17">
                  <c:v>15</c:v>
                </c:pt>
                <c:pt idx="18">
                  <c:v>22</c:v>
                </c:pt>
                <c:pt idx="19">
                  <c:v>29</c:v>
                </c:pt>
                <c:pt idx="20">
                  <c:v>10</c:v>
                </c:pt>
                <c:pt idx="21">
                  <c:v>18</c:v>
                </c:pt>
                <c:pt idx="22">
                  <c:v>32</c:v>
                </c:pt>
                <c:pt idx="23">
                  <c:v>24</c:v>
                </c:pt>
                <c:pt idx="24">
                  <c:v>19</c:v>
                </c:pt>
                <c:pt idx="25">
                  <c:v>18</c:v>
                </c:pt>
                <c:pt idx="26">
                  <c:v>16</c:v>
                </c:pt>
                <c:pt idx="27">
                  <c:v>17</c:v>
                </c:pt>
                <c:pt idx="28">
                  <c:v>16</c:v>
                </c:pt>
                <c:pt idx="29">
                  <c:v>9</c:v>
                </c:pt>
                <c:pt idx="30">
                  <c:v>34</c:v>
                </c:pt>
                <c:pt idx="31">
                  <c:v>23</c:v>
                </c:pt>
                <c:pt idx="32">
                  <c:v>29</c:v>
                </c:pt>
                <c:pt idx="33">
                  <c:v>13</c:v>
                </c:pt>
                <c:pt idx="34">
                  <c:v>26</c:v>
                </c:pt>
                <c:pt idx="35">
                  <c:v>22</c:v>
                </c:pt>
                <c:pt idx="36">
                  <c:v>10</c:v>
                </c:pt>
                <c:pt idx="37">
                  <c:v>16</c:v>
                </c:pt>
                <c:pt idx="38">
                  <c:v>29</c:v>
                </c:pt>
                <c:pt idx="39">
                  <c:v>27</c:v>
                </c:pt>
                <c:pt idx="40">
                  <c:v>20</c:v>
                </c:pt>
                <c:pt idx="41">
                  <c:v>12</c:v>
                </c:pt>
                <c:pt idx="42">
                  <c:v>16</c:v>
                </c:pt>
                <c:pt idx="43">
                  <c:v>25</c:v>
                </c:pt>
                <c:pt idx="44">
                  <c:v>25</c:v>
                </c:pt>
                <c:pt idx="45">
                  <c:v>33</c:v>
                </c:pt>
                <c:pt idx="46">
                  <c:v>36</c:v>
                </c:pt>
                <c:pt idx="47">
                  <c:v>34</c:v>
                </c:pt>
                <c:pt idx="48">
                  <c:v>23</c:v>
                </c:pt>
                <c:pt idx="49">
                  <c:v>26</c:v>
                </c:pt>
                <c:pt idx="50">
                  <c:v>28</c:v>
                </c:pt>
                <c:pt idx="51">
                  <c:v>27</c:v>
                </c:pt>
              </c:numCache>
            </c:numRef>
          </c:val>
          <c:smooth val="0"/>
          <c:extLst>
            <c:ext xmlns:c16="http://schemas.microsoft.com/office/drawing/2014/chart" uri="{C3380CC4-5D6E-409C-BE32-E72D297353CC}">
              <c16:uniqueId val="{00000032-B13E-42E5-9D05-DC3FD246C548}"/>
            </c:ext>
          </c:extLst>
        </c:ser>
        <c:ser>
          <c:idx val="2"/>
          <c:order val="2"/>
          <c:tx>
            <c:strRef>
              <c:f>report!$O$8:$O$9</c:f>
              <c:strCache>
                <c:ptCount val="1"/>
                <c:pt idx="0">
                  <c:v>linkedin</c:v>
                </c:pt>
              </c:strCache>
            </c:strRef>
          </c:tx>
          <c:spPr>
            <a:ln w="28575" cap="rnd">
              <a:solidFill>
                <a:srgbClr val="7ADDEA"/>
              </a:solidFill>
              <a:round/>
            </a:ln>
            <a:effectLst/>
          </c:spPr>
          <c:marker>
            <c:symbol val="none"/>
          </c:marker>
          <c:cat>
            <c:strRef>
              <c:f>report!$L$10:$L$62</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report!$O$10:$O$62</c:f>
              <c:numCache>
                <c:formatCode>#,##0</c:formatCode>
                <c:ptCount val="52"/>
                <c:pt idx="0">
                  <c:v>17</c:v>
                </c:pt>
                <c:pt idx="1">
                  <c:v>19</c:v>
                </c:pt>
                <c:pt idx="2">
                  <c:v>11</c:v>
                </c:pt>
                <c:pt idx="3">
                  <c:v>11</c:v>
                </c:pt>
                <c:pt idx="4">
                  <c:v>10</c:v>
                </c:pt>
                <c:pt idx="5">
                  <c:v>21</c:v>
                </c:pt>
                <c:pt idx="6">
                  <c:v>12</c:v>
                </c:pt>
                <c:pt idx="7">
                  <c:v>10</c:v>
                </c:pt>
                <c:pt idx="8">
                  <c:v>17</c:v>
                </c:pt>
                <c:pt idx="9">
                  <c:v>14</c:v>
                </c:pt>
                <c:pt idx="10">
                  <c:v>23</c:v>
                </c:pt>
                <c:pt idx="11">
                  <c:v>21</c:v>
                </c:pt>
                <c:pt idx="12">
                  <c:v>15</c:v>
                </c:pt>
                <c:pt idx="13">
                  <c:v>22</c:v>
                </c:pt>
                <c:pt idx="14">
                  <c:v>11</c:v>
                </c:pt>
                <c:pt idx="15">
                  <c:v>25</c:v>
                </c:pt>
                <c:pt idx="16">
                  <c:v>26</c:v>
                </c:pt>
                <c:pt idx="17">
                  <c:v>11</c:v>
                </c:pt>
                <c:pt idx="18">
                  <c:v>16</c:v>
                </c:pt>
                <c:pt idx="19">
                  <c:v>22</c:v>
                </c:pt>
                <c:pt idx="20">
                  <c:v>7</c:v>
                </c:pt>
                <c:pt idx="21">
                  <c:v>13</c:v>
                </c:pt>
                <c:pt idx="22">
                  <c:v>23</c:v>
                </c:pt>
                <c:pt idx="23">
                  <c:v>20</c:v>
                </c:pt>
                <c:pt idx="24">
                  <c:v>12</c:v>
                </c:pt>
                <c:pt idx="25">
                  <c:v>12</c:v>
                </c:pt>
                <c:pt idx="26">
                  <c:v>11</c:v>
                </c:pt>
                <c:pt idx="27">
                  <c:v>13</c:v>
                </c:pt>
                <c:pt idx="28">
                  <c:v>12</c:v>
                </c:pt>
                <c:pt idx="29">
                  <c:v>7</c:v>
                </c:pt>
                <c:pt idx="30">
                  <c:v>22</c:v>
                </c:pt>
                <c:pt idx="31">
                  <c:v>16</c:v>
                </c:pt>
                <c:pt idx="32">
                  <c:v>22</c:v>
                </c:pt>
                <c:pt idx="33">
                  <c:v>10</c:v>
                </c:pt>
                <c:pt idx="34">
                  <c:v>20</c:v>
                </c:pt>
                <c:pt idx="35">
                  <c:v>16</c:v>
                </c:pt>
                <c:pt idx="36">
                  <c:v>8</c:v>
                </c:pt>
                <c:pt idx="37">
                  <c:v>13</c:v>
                </c:pt>
                <c:pt idx="38">
                  <c:v>23</c:v>
                </c:pt>
                <c:pt idx="39">
                  <c:v>17</c:v>
                </c:pt>
                <c:pt idx="40">
                  <c:v>17</c:v>
                </c:pt>
                <c:pt idx="41">
                  <c:v>9</c:v>
                </c:pt>
                <c:pt idx="42">
                  <c:v>11</c:v>
                </c:pt>
                <c:pt idx="43">
                  <c:v>18</c:v>
                </c:pt>
                <c:pt idx="44">
                  <c:v>19</c:v>
                </c:pt>
                <c:pt idx="45">
                  <c:v>21</c:v>
                </c:pt>
                <c:pt idx="46">
                  <c:v>23</c:v>
                </c:pt>
                <c:pt idx="47">
                  <c:v>23</c:v>
                </c:pt>
                <c:pt idx="48">
                  <c:v>18</c:v>
                </c:pt>
                <c:pt idx="49">
                  <c:v>17</c:v>
                </c:pt>
                <c:pt idx="50">
                  <c:v>21</c:v>
                </c:pt>
                <c:pt idx="51">
                  <c:v>22</c:v>
                </c:pt>
              </c:numCache>
            </c:numRef>
          </c:val>
          <c:smooth val="0"/>
          <c:extLst>
            <c:ext xmlns:c16="http://schemas.microsoft.com/office/drawing/2014/chart" uri="{C3380CC4-5D6E-409C-BE32-E72D297353CC}">
              <c16:uniqueId val="{00000034-B13E-42E5-9D05-DC3FD246C548}"/>
            </c:ext>
          </c:extLst>
        </c:ser>
        <c:ser>
          <c:idx val="3"/>
          <c:order val="3"/>
          <c:tx>
            <c:strRef>
              <c:f>report!$P$8:$P$9</c:f>
              <c:strCache>
                <c:ptCount val="1"/>
                <c:pt idx="0">
                  <c:v>x</c:v>
                </c:pt>
              </c:strCache>
            </c:strRef>
          </c:tx>
          <c:spPr>
            <a:ln w="28575" cap="rnd">
              <a:solidFill>
                <a:schemeClr val="accent4"/>
              </a:solidFill>
              <a:round/>
            </a:ln>
            <a:effectLst/>
          </c:spPr>
          <c:marker>
            <c:symbol val="none"/>
          </c:marker>
          <c:dPt>
            <c:idx val="40"/>
            <c:marker>
              <c:symbol val="none"/>
            </c:marker>
            <c:bubble3D val="0"/>
            <c:spPr>
              <a:ln w="28575" cap="rnd">
                <a:solidFill>
                  <a:schemeClr val="accent4"/>
                </a:solidFill>
                <a:round/>
              </a:ln>
              <a:effectLst/>
            </c:spPr>
          </c:dPt>
          <c:cat>
            <c:strRef>
              <c:f>report!$L$10:$L$62</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report!$P$10:$P$62</c:f>
              <c:numCache>
                <c:formatCode>#,##0</c:formatCode>
                <c:ptCount val="52"/>
                <c:pt idx="0">
                  <c:v>27</c:v>
                </c:pt>
                <c:pt idx="1">
                  <c:v>33</c:v>
                </c:pt>
                <c:pt idx="2">
                  <c:v>18</c:v>
                </c:pt>
                <c:pt idx="3">
                  <c:v>14</c:v>
                </c:pt>
                <c:pt idx="4">
                  <c:v>14</c:v>
                </c:pt>
                <c:pt idx="5">
                  <c:v>35</c:v>
                </c:pt>
                <c:pt idx="6">
                  <c:v>21</c:v>
                </c:pt>
                <c:pt idx="7">
                  <c:v>16</c:v>
                </c:pt>
                <c:pt idx="8">
                  <c:v>28</c:v>
                </c:pt>
                <c:pt idx="9">
                  <c:v>19</c:v>
                </c:pt>
                <c:pt idx="10">
                  <c:v>35</c:v>
                </c:pt>
                <c:pt idx="11">
                  <c:v>36</c:v>
                </c:pt>
                <c:pt idx="12">
                  <c:v>25</c:v>
                </c:pt>
                <c:pt idx="13">
                  <c:v>31</c:v>
                </c:pt>
                <c:pt idx="14">
                  <c:v>18</c:v>
                </c:pt>
                <c:pt idx="15">
                  <c:v>37</c:v>
                </c:pt>
                <c:pt idx="16">
                  <c:v>39</c:v>
                </c:pt>
                <c:pt idx="17">
                  <c:v>15</c:v>
                </c:pt>
                <c:pt idx="18">
                  <c:v>22</c:v>
                </c:pt>
                <c:pt idx="19">
                  <c:v>35</c:v>
                </c:pt>
                <c:pt idx="20">
                  <c:v>12</c:v>
                </c:pt>
                <c:pt idx="21">
                  <c:v>19</c:v>
                </c:pt>
                <c:pt idx="22">
                  <c:v>39</c:v>
                </c:pt>
                <c:pt idx="23">
                  <c:v>29</c:v>
                </c:pt>
                <c:pt idx="24">
                  <c:v>20</c:v>
                </c:pt>
                <c:pt idx="25">
                  <c:v>20</c:v>
                </c:pt>
                <c:pt idx="26">
                  <c:v>19</c:v>
                </c:pt>
                <c:pt idx="27">
                  <c:v>20</c:v>
                </c:pt>
                <c:pt idx="28">
                  <c:v>20</c:v>
                </c:pt>
                <c:pt idx="29">
                  <c:v>11</c:v>
                </c:pt>
                <c:pt idx="30">
                  <c:v>35</c:v>
                </c:pt>
                <c:pt idx="31">
                  <c:v>24</c:v>
                </c:pt>
                <c:pt idx="32">
                  <c:v>29</c:v>
                </c:pt>
                <c:pt idx="33">
                  <c:v>16</c:v>
                </c:pt>
                <c:pt idx="34">
                  <c:v>31</c:v>
                </c:pt>
                <c:pt idx="35">
                  <c:v>22</c:v>
                </c:pt>
                <c:pt idx="36">
                  <c:v>11</c:v>
                </c:pt>
                <c:pt idx="37">
                  <c:v>19</c:v>
                </c:pt>
                <c:pt idx="38">
                  <c:v>34</c:v>
                </c:pt>
                <c:pt idx="39">
                  <c:v>31</c:v>
                </c:pt>
                <c:pt idx="40">
                  <c:v>22</c:v>
                </c:pt>
                <c:pt idx="41">
                  <c:v>13</c:v>
                </c:pt>
                <c:pt idx="42">
                  <c:v>18</c:v>
                </c:pt>
                <c:pt idx="43">
                  <c:v>28</c:v>
                </c:pt>
                <c:pt idx="44">
                  <c:v>27</c:v>
                </c:pt>
                <c:pt idx="45">
                  <c:v>40</c:v>
                </c:pt>
                <c:pt idx="46">
                  <c:v>37</c:v>
                </c:pt>
                <c:pt idx="47">
                  <c:v>36</c:v>
                </c:pt>
                <c:pt idx="48">
                  <c:v>25</c:v>
                </c:pt>
                <c:pt idx="49">
                  <c:v>31</c:v>
                </c:pt>
                <c:pt idx="50">
                  <c:v>27</c:v>
                </c:pt>
                <c:pt idx="51">
                  <c:v>27</c:v>
                </c:pt>
              </c:numCache>
            </c:numRef>
          </c:val>
          <c:smooth val="0"/>
          <c:extLst>
            <c:ext xmlns:c16="http://schemas.microsoft.com/office/drawing/2014/chart" uri="{C3380CC4-5D6E-409C-BE32-E72D297353CC}">
              <c16:uniqueId val="{00000035-B13E-42E5-9D05-DC3FD246C548}"/>
            </c:ext>
          </c:extLst>
        </c:ser>
        <c:dLbls>
          <c:showLegendKey val="0"/>
          <c:showVal val="0"/>
          <c:showCatName val="0"/>
          <c:showSerName val="0"/>
          <c:showPercent val="0"/>
          <c:showBubbleSize val="0"/>
        </c:dLbls>
        <c:smooth val="0"/>
        <c:axId val="1771037216"/>
        <c:axId val="1770188080"/>
      </c:lineChart>
      <c:catAx>
        <c:axId val="17710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 lastClr="FFFFFF"/>
                </a:solidFill>
                <a:latin typeface="+mn-lt"/>
                <a:ea typeface="+mn-ea"/>
                <a:cs typeface="+mn-cs"/>
              </a:defRPr>
            </a:pPr>
            <a:endParaRPr lang="en-US"/>
          </a:p>
        </c:txPr>
        <c:crossAx val="1770188080"/>
        <c:crosses val="autoZero"/>
        <c:auto val="1"/>
        <c:lblAlgn val="ctr"/>
        <c:lblOffset val="100"/>
        <c:noMultiLvlLbl val="0"/>
      </c:catAx>
      <c:valAx>
        <c:axId val="1770188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 lastClr="FFFFFF"/>
                </a:solidFill>
                <a:latin typeface="+mn-lt"/>
                <a:ea typeface="+mn-ea"/>
                <a:cs typeface="+mn-cs"/>
              </a:defRPr>
            </a:pPr>
            <a:endParaRPr lang="en-US"/>
          </a:p>
        </c:txPr>
        <c:crossAx val="1771037216"/>
        <c:crosses val="autoZero"/>
        <c:crossBetween val="between"/>
      </c:valAx>
      <c:spPr>
        <a:solidFill>
          <a:srgbClr val="061B3C"/>
        </a:solidFill>
        <a:ln>
          <a:solidFill>
            <a:srgbClr val="242A3B"/>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 lastClr="FFFFFF"/>
              </a:solidFill>
              <a:latin typeface="+mn-lt"/>
              <a:ea typeface="+mn-ea"/>
              <a:cs typeface="+mn-cs"/>
            </a:defRPr>
          </a:pPr>
          <a:endParaRPr lang="en-US"/>
        </a:p>
      </c:txPr>
    </c:legend>
    <c:plotVisOnly val="1"/>
    <c:dispBlanksAs val="gap"/>
    <c:showDLblsOverMax val="0"/>
    <c:extLst/>
  </c:chart>
  <c:spPr>
    <a:solidFill>
      <a:srgbClr val="061B3C"/>
    </a:solidFill>
    <a:ln w="12700" cap="flat" cmpd="sng" algn="ctr">
      <a:solidFill>
        <a:srgbClr val="214574"/>
      </a:solidFill>
      <a:prstDash val="solid"/>
      <a:miter lim="800000"/>
    </a:ln>
    <a:effectLst>
      <a:outerShdw blurRad="50800" dist="38100" dir="18900000" algn="bl" rotWithShape="0">
        <a:prstClr val="black">
          <a:alpha val="40000"/>
        </a:prstClr>
      </a:outerShdw>
    </a:effectLst>
  </c:spPr>
  <c:txPr>
    <a:bodyPr/>
    <a:lstStyle/>
    <a:p>
      <a:pPr>
        <a:defRPr>
          <a:solidFill>
            <a:sysClr val="window" lastClr="FFFFFF"/>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[Social-Media-Metrics-Dashboard (version 1) (Recovered).xlsx]report!PivotTable8</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Weekly</a:t>
            </a:r>
            <a:r>
              <a:rPr lang="en-US" b="1" baseline="0">
                <a:solidFill>
                  <a:schemeClr val="bg1"/>
                </a:solidFill>
              </a:rPr>
              <a:t>  Impressions  and post reach</a:t>
            </a:r>
            <a:endParaRPr lang="en-US" b="1">
              <a:solidFill>
                <a:schemeClr val="bg1"/>
              </a:solidFill>
            </a:endParaRPr>
          </a:p>
        </c:rich>
      </c:tx>
      <c:layout>
        <c:manualLayout>
          <c:xMode val="edge"/>
          <c:yMode val="edge"/>
          <c:x val="4.0249509010098591E-2"/>
          <c:y val="3.4884998085107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7ADD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report!$T$8</c:f>
              <c:strCache>
                <c:ptCount val="1"/>
                <c:pt idx="0">
                  <c:v>Sum of Impressions</c:v>
                </c:pt>
              </c:strCache>
            </c:strRef>
          </c:tx>
          <c:spPr>
            <a:solidFill>
              <a:schemeClr val="accent1"/>
            </a:solidFill>
            <a:ln>
              <a:noFill/>
            </a:ln>
            <a:effectLst/>
          </c:spPr>
          <c:invertIfNegative val="0"/>
          <c:cat>
            <c:strRef>
              <c:f>report!$S$9:$S$61</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report!$T$9:$T$61</c:f>
              <c:numCache>
                <c:formatCode>#,##0</c:formatCode>
                <c:ptCount val="52"/>
                <c:pt idx="0">
                  <c:v>47791</c:v>
                </c:pt>
                <c:pt idx="1">
                  <c:v>42934</c:v>
                </c:pt>
                <c:pt idx="2">
                  <c:v>44332</c:v>
                </c:pt>
                <c:pt idx="3">
                  <c:v>44263</c:v>
                </c:pt>
                <c:pt idx="4">
                  <c:v>41180</c:v>
                </c:pt>
                <c:pt idx="5">
                  <c:v>45876</c:v>
                </c:pt>
                <c:pt idx="6">
                  <c:v>37906</c:v>
                </c:pt>
                <c:pt idx="7">
                  <c:v>50650</c:v>
                </c:pt>
                <c:pt idx="8">
                  <c:v>41166</c:v>
                </c:pt>
                <c:pt idx="9">
                  <c:v>48017</c:v>
                </c:pt>
                <c:pt idx="10">
                  <c:v>37568</c:v>
                </c:pt>
                <c:pt idx="11">
                  <c:v>43066</c:v>
                </c:pt>
                <c:pt idx="12">
                  <c:v>44130</c:v>
                </c:pt>
                <c:pt idx="13">
                  <c:v>46616</c:v>
                </c:pt>
                <c:pt idx="14">
                  <c:v>35418</c:v>
                </c:pt>
                <c:pt idx="15">
                  <c:v>39969</c:v>
                </c:pt>
                <c:pt idx="16">
                  <c:v>43937</c:v>
                </c:pt>
                <c:pt idx="17">
                  <c:v>39686</c:v>
                </c:pt>
                <c:pt idx="18">
                  <c:v>44009</c:v>
                </c:pt>
                <c:pt idx="19">
                  <c:v>47121</c:v>
                </c:pt>
                <c:pt idx="20">
                  <c:v>38742</c:v>
                </c:pt>
                <c:pt idx="21">
                  <c:v>43352</c:v>
                </c:pt>
                <c:pt idx="22">
                  <c:v>39566</c:v>
                </c:pt>
                <c:pt idx="23">
                  <c:v>50557</c:v>
                </c:pt>
                <c:pt idx="24">
                  <c:v>47886</c:v>
                </c:pt>
                <c:pt idx="25">
                  <c:v>40143</c:v>
                </c:pt>
                <c:pt idx="26">
                  <c:v>41475</c:v>
                </c:pt>
                <c:pt idx="27">
                  <c:v>38699</c:v>
                </c:pt>
                <c:pt idx="28">
                  <c:v>44577</c:v>
                </c:pt>
                <c:pt idx="29">
                  <c:v>41143</c:v>
                </c:pt>
                <c:pt idx="30">
                  <c:v>39137</c:v>
                </c:pt>
                <c:pt idx="31">
                  <c:v>43428</c:v>
                </c:pt>
                <c:pt idx="32">
                  <c:v>44087</c:v>
                </c:pt>
                <c:pt idx="33">
                  <c:v>42061</c:v>
                </c:pt>
                <c:pt idx="34">
                  <c:v>39343</c:v>
                </c:pt>
                <c:pt idx="35">
                  <c:v>41244</c:v>
                </c:pt>
                <c:pt idx="36">
                  <c:v>40118</c:v>
                </c:pt>
                <c:pt idx="37">
                  <c:v>45112</c:v>
                </c:pt>
                <c:pt idx="38">
                  <c:v>40846</c:v>
                </c:pt>
                <c:pt idx="39">
                  <c:v>38791</c:v>
                </c:pt>
                <c:pt idx="40">
                  <c:v>49403</c:v>
                </c:pt>
                <c:pt idx="41">
                  <c:v>47125</c:v>
                </c:pt>
                <c:pt idx="42">
                  <c:v>51138</c:v>
                </c:pt>
                <c:pt idx="43">
                  <c:v>54594</c:v>
                </c:pt>
                <c:pt idx="44">
                  <c:v>50945</c:v>
                </c:pt>
                <c:pt idx="45">
                  <c:v>54796</c:v>
                </c:pt>
                <c:pt idx="46">
                  <c:v>52928</c:v>
                </c:pt>
                <c:pt idx="47">
                  <c:v>52927</c:v>
                </c:pt>
                <c:pt idx="48">
                  <c:v>55958</c:v>
                </c:pt>
                <c:pt idx="49">
                  <c:v>56381</c:v>
                </c:pt>
                <c:pt idx="50">
                  <c:v>56030</c:v>
                </c:pt>
                <c:pt idx="51">
                  <c:v>52912</c:v>
                </c:pt>
              </c:numCache>
            </c:numRef>
          </c:val>
          <c:extLst>
            <c:ext xmlns:c16="http://schemas.microsoft.com/office/drawing/2014/chart" uri="{C3380CC4-5D6E-409C-BE32-E72D297353CC}">
              <c16:uniqueId val="{00000000-BA0F-438F-8096-92C377C2A707}"/>
            </c:ext>
          </c:extLst>
        </c:ser>
        <c:dLbls>
          <c:showLegendKey val="0"/>
          <c:showVal val="0"/>
          <c:showCatName val="0"/>
          <c:showSerName val="0"/>
          <c:showPercent val="0"/>
          <c:showBubbleSize val="0"/>
        </c:dLbls>
        <c:gapWidth val="150"/>
        <c:axId val="1771037216"/>
        <c:axId val="1770188080"/>
      </c:barChart>
      <c:lineChart>
        <c:grouping val="standard"/>
        <c:varyColors val="0"/>
        <c:ser>
          <c:idx val="1"/>
          <c:order val="1"/>
          <c:tx>
            <c:strRef>
              <c:f>report!$U$8</c:f>
              <c:strCache>
                <c:ptCount val="1"/>
                <c:pt idx="0">
                  <c:v>Sum of Post Reach</c:v>
                </c:pt>
              </c:strCache>
            </c:strRef>
          </c:tx>
          <c:spPr>
            <a:ln w="28575" cap="rnd">
              <a:solidFill>
                <a:srgbClr val="DE0875"/>
              </a:solidFill>
              <a:round/>
            </a:ln>
            <a:effectLst/>
          </c:spPr>
          <c:marker>
            <c:symbol val="none"/>
          </c:marker>
          <c:cat>
            <c:strRef>
              <c:f>report!$S$9:$S$61</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report!$U$9:$U$61</c:f>
              <c:numCache>
                <c:formatCode>#,##0</c:formatCode>
                <c:ptCount val="52"/>
                <c:pt idx="0">
                  <c:v>37573</c:v>
                </c:pt>
                <c:pt idx="1">
                  <c:v>36572</c:v>
                </c:pt>
                <c:pt idx="2">
                  <c:v>29621</c:v>
                </c:pt>
                <c:pt idx="3">
                  <c:v>31751</c:v>
                </c:pt>
                <c:pt idx="4">
                  <c:v>32686</c:v>
                </c:pt>
                <c:pt idx="5">
                  <c:v>31197</c:v>
                </c:pt>
                <c:pt idx="6">
                  <c:v>30744</c:v>
                </c:pt>
                <c:pt idx="7">
                  <c:v>33256</c:v>
                </c:pt>
                <c:pt idx="8">
                  <c:v>33583</c:v>
                </c:pt>
                <c:pt idx="9">
                  <c:v>29395</c:v>
                </c:pt>
                <c:pt idx="10">
                  <c:v>31236</c:v>
                </c:pt>
                <c:pt idx="11">
                  <c:v>36820</c:v>
                </c:pt>
                <c:pt idx="12">
                  <c:v>40009</c:v>
                </c:pt>
                <c:pt idx="13">
                  <c:v>29946</c:v>
                </c:pt>
                <c:pt idx="14">
                  <c:v>25719</c:v>
                </c:pt>
                <c:pt idx="15">
                  <c:v>28389</c:v>
                </c:pt>
                <c:pt idx="16">
                  <c:v>30432</c:v>
                </c:pt>
                <c:pt idx="17">
                  <c:v>26278</c:v>
                </c:pt>
                <c:pt idx="18">
                  <c:v>32688</c:v>
                </c:pt>
                <c:pt idx="19">
                  <c:v>30727</c:v>
                </c:pt>
                <c:pt idx="20">
                  <c:v>27375</c:v>
                </c:pt>
                <c:pt idx="21">
                  <c:v>30262</c:v>
                </c:pt>
                <c:pt idx="22">
                  <c:v>27678</c:v>
                </c:pt>
                <c:pt idx="23">
                  <c:v>32424</c:v>
                </c:pt>
                <c:pt idx="24">
                  <c:v>32868</c:v>
                </c:pt>
                <c:pt idx="25">
                  <c:v>32775</c:v>
                </c:pt>
                <c:pt idx="26">
                  <c:v>34294</c:v>
                </c:pt>
                <c:pt idx="27">
                  <c:v>29584</c:v>
                </c:pt>
                <c:pt idx="28">
                  <c:v>30401</c:v>
                </c:pt>
                <c:pt idx="29">
                  <c:v>32446</c:v>
                </c:pt>
                <c:pt idx="30">
                  <c:v>28153</c:v>
                </c:pt>
                <c:pt idx="31">
                  <c:v>29059</c:v>
                </c:pt>
                <c:pt idx="32">
                  <c:v>32804</c:v>
                </c:pt>
                <c:pt idx="33">
                  <c:v>28714</c:v>
                </c:pt>
                <c:pt idx="34">
                  <c:v>24500</c:v>
                </c:pt>
                <c:pt idx="35">
                  <c:v>31569</c:v>
                </c:pt>
                <c:pt idx="36">
                  <c:v>36191</c:v>
                </c:pt>
                <c:pt idx="37">
                  <c:v>29484</c:v>
                </c:pt>
                <c:pt idx="38">
                  <c:v>33092</c:v>
                </c:pt>
                <c:pt idx="39">
                  <c:v>27708</c:v>
                </c:pt>
                <c:pt idx="40">
                  <c:v>30909</c:v>
                </c:pt>
                <c:pt idx="41">
                  <c:v>33933</c:v>
                </c:pt>
                <c:pt idx="42">
                  <c:v>31047</c:v>
                </c:pt>
                <c:pt idx="43">
                  <c:v>30174</c:v>
                </c:pt>
                <c:pt idx="44">
                  <c:v>31265</c:v>
                </c:pt>
                <c:pt idx="45">
                  <c:v>33001</c:v>
                </c:pt>
                <c:pt idx="46">
                  <c:v>33192</c:v>
                </c:pt>
                <c:pt idx="47">
                  <c:v>37456</c:v>
                </c:pt>
                <c:pt idx="48">
                  <c:v>35186</c:v>
                </c:pt>
                <c:pt idx="49">
                  <c:v>32629</c:v>
                </c:pt>
                <c:pt idx="50">
                  <c:v>32152</c:v>
                </c:pt>
                <c:pt idx="51">
                  <c:v>32551</c:v>
                </c:pt>
              </c:numCache>
            </c:numRef>
          </c:val>
          <c:smooth val="0"/>
          <c:extLst>
            <c:ext xmlns:c16="http://schemas.microsoft.com/office/drawing/2014/chart" uri="{C3380CC4-5D6E-409C-BE32-E72D297353CC}">
              <c16:uniqueId val="{00000001-BA0F-438F-8096-92C377C2A707}"/>
            </c:ext>
          </c:extLst>
        </c:ser>
        <c:dLbls>
          <c:showLegendKey val="0"/>
          <c:showVal val="0"/>
          <c:showCatName val="0"/>
          <c:showSerName val="0"/>
          <c:showPercent val="0"/>
          <c:showBubbleSize val="0"/>
        </c:dLbls>
        <c:marker val="1"/>
        <c:smooth val="0"/>
        <c:axId val="268446768"/>
        <c:axId val="1995793488"/>
      </c:lineChart>
      <c:catAx>
        <c:axId val="177103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70188080"/>
        <c:crosses val="autoZero"/>
        <c:auto val="1"/>
        <c:lblAlgn val="ctr"/>
        <c:lblOffset val="100"/>
        <c:noMultiLvlLbl val="0"/>
      </c:catAx>
      <c:valAx>
        <c:axId val="1770188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71037216"/>
        <c:crosses val="autoZero"/>
        <c:crossBetween val="between"/>
      </c:valAx>
      <c:valAx>
        <c:axId val="19957934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8446768"/>
        <c:crosses val="max"/>
        <c:crossBetween val="between"/>
      </c:valAx>
      <c:catAx>
        <c:axId val="268446768"/>
        <c:scaling>
          <c:orientation val="minMax"/>
        </c:scaling>
        <c:delete val="1"/>
        <c:axPos val="b"/>
        <c:numFmt formatCode="General" sourceLinked="1"/>
        <c:majorTickMark val="out"/>
        <c:minorTickMark val="none"/>
        <c:tickLblPos val="nextTo"/>
        <c:crossAx val="19957934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solidFill>
        <a:srgbClr val="2145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2.xml"/><Relationship Id="rId7"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svg"/><Relationship Id="rId7" Type="http://schemas.openxmlformats.org/officeDocument/2006/relationships/image" Target="../media/image15.png"/><Relationship Id="rId12" Type="http://schemas.openxmlformats.org/officeDocument/2006/relationships/image" Target="../media/image20.sv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svg"/><Relationship Id="rId11" Type="http://schemas.openxmlformats.org/officeDocument/2006/relationships/image" Target="../media/image19.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editAs="oneCell">
    <xdr:from>
      <xdr:col>25</xdr:col>
      <xdr:colOff>94475</xdr:colOff>
      <xdr:row>9</xdr:row>
      <xdr:rowOff>50341</xdr:rowOff>
    </xdr:from>
    <xdr:to>
      <xdr:col>25</xdr:col>
      <xdr:colOff>526475</xdr:colOff>
      <xdr:row>9</xdr:row>
      <xdr:rowOff>482341</xdr:rowOff>
    </xdr:to>
    <xdr:pic>
      <xdr:nvPicPr>
        <xdr:cNvPr id="3" name="Picture 2">
          <a:extLst>
            <a:ext uri="{FF2B5EF4-FFF2-40B4-BE49-F238E27FC236}">
              <a16:creationId xmlns:a16="http://schemas.microsoft.com/office/drawing/2014/main" id="{95F4CEC5-A867-073C-05B2-3F15BA6011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98546" y="1655023"/>
          <a:ext cx="432000" cy="432000"/>
        </a:xfrm>
        <a:prstGeom prst="rect">
          <a:avLst/>
        </a:prstGeom>
      </xdr:spPr>
    </xdr:pic>
    <xdr:clientData/>
  </xdr:twoCellAnchor>
  <xdr:twoCellAnchor editAs="oneCell">
    <xdr:from>
      <xdr:col>17</xdr:col>
      <xdr:colOff>80683</xdr:colOff>
      <xdr:row>9</xdr:row>
      <xdr:rowOff>44823</xdr:rowOff>
    </xdr:from>
    <xdr:to>
      <xdr:col>17</xdr:col>
      <xdr:colOff>512683</xdr:colOff>
      <xdr:row>9</xdr:row>
      <xdr:rowOff>476823</xdr:rowOff>
    </xdr:to>
    <xdr:pic>
      <xdr:nvPicPr>
        <xdr:cNvPr id="5" name="Picture 4">
          <a:extLst>
            <a:ext uri="{FF2B5EF4-FFF2-40B4-BE49-F238E27FC236}">
              <a16:creationId xmlns:a16="http://schemas.microsoft.com/office/drawing/2014/main" id="{E5682CC5-9CA8-45CC-1991-C4DD55DAD8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019930" y="1649505"/>
          <a:ext cx="432000" cy="432000"/>
        </a:xfrm>
        <a:prstGeom prst="rect">
          <a:avLst/>
        </a:prstGeom>
      </xdr:spPr>
    </xdr:pic>
    <xdr:clientData/>
  </xdr:twoCellAnchor>
  <xdr:twoCellAnchor editAs="oneCell">
    <xdr:from>
      <xdr:col>9</xdr:col>
      <xdr:colOff>99392</xdr:colOff>
      <xdr:row>9</xdr:row>
      <xdr:rowOff>33130</xdr:rowOff>
    </xdr:from>
    <xdr:to>
      <xdr:col>9</xdr:col>
      <xdr:colOff>531392</xdr:colOff>
      <xdr:row>9</xdr:row>
      <xdr:rowOff>465130</xdr:rowOff>
    </xdr:to>
    <xdr:pic>
      <xdr:nvPicPr>
        <xdr:cNvPr id="7" name="Picture 6">
          <a:extLst>
            <a:ext uri="{FF2B5EF4-FFF2-40B4-BE49-F238E27FC236}">
              <a16:creationId xmlns:a16="http://schemas.microsoft.com/office/drawing/2014/main" id="{8AB4D079-8FF5-A8C0-91A4-56F54B5CF2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62122" y="1683026"/>
          <a:ext cx="432000" cy="432000"/>
        </a:xfrm>
        <a:prstGeom prst="rect">
          <a:avLst/>
        </a:prstGeom>
      </xdr:spPr>
    </xdr:pic>
    <xdr:clientData/>
  </xdr:twoCellAnchor>
  <xdr:twoCellAnchor editAs="oneCell">
    <xdr:from>
      <xdr:col>1</xdr:col>
      <xdr:colOff>36307</xdr:colOff>
      <xdr:row>9</xdr:row>
      <xdr:rowOff>2240</xdr:rowOff>
    </xdr:from>
    <xdr:to>
      <xdr:col>1</xdr:col>
      <xdr:colOff>468307</xdr:colOff>
      <xdr:row>9</xdr:row>
      <xdr:rowOff>434240</xdr:rowOff>
    </xdr:to>
    <xdr:pic>
      <xdr:nvPicPr>
        <xdr:cNvPr id="9" name="Picture 8">
          <a:extLst>
            <a:ext uri="{FF2B5EF4-FFF2-40B4-BE49-F238E27FC236}">
              <a16:creationId xmlns:a16="http://schemas.microsoft.com/office/drawing/2014/main" id="{001E3145-66E8-89AB-8139-9A5E1E15E0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5907" y="1606922"/>
          <a:ext cx="432000" cy="4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311083</xdr:colOff>
      <xdr:row>8</xdr:row>
      <xdr:rowOff>116171</xdr:rowOff>
    </xdr:from>
    <xdr:to>
      <xdr:col>9</xdr:col>
      <xdr:colOff>594896</xdr:colOff>
      <xdr:row>22</xdr:row>
      <xdr:rowOff>173790</xdr:rowOff>
    </xdr:to>
    <mc:AlternateContent xmlns:mc="http://schemas.openxmlformats.org/markup-compatibility/2006" xmlns:a14="http://schemas.microsoft.com/office/drawing/2010/main">
      <mc:Choice Requires="a14">
        <xdr:graphicFrame macro="">
          <xdr:nvGraphicFramePr>
            <xdr:cNvPr id="2" name="Week">
              <a:extLst>
                <a:ext uri="{FF2B5EF4-FFF2-40B4-BE49-F238E27FC236}">
                  <a16:creationId xmlns:a16="http://schemas.microsoft.com/office/drawing/2014/main" id="{7E52578D-29A0-8E3B-4615-5DCCAD2A9990}"/>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6841557" y="1559960"/>
              <a:ext cx="1854602" cy="2584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247851</xdr:colOff>
      <xdr:row>0</xdr:row>
      <xdr:rowOff>63901</xdr:rowOff>
    </xdr:from>
    <xdr:to>
      <xdr:col>9</xdr:col>
      <xdr:colOff>501852</xdr:colOff>
      <xdr:row>8</xdr:row>
      <xdr:rowOff>53474</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4DA63D21-25A3-A63D-9FDF-6121106B37AF}"/>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778325" y="63901"/>
              <a:ext cx="1824790" cy="1433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220871</xdr:colOff>
      <xdr:row>4</xdr:row>
      <xdr:rowOff>76798</xdr:rowOff>
    </xdr:from>
    <xdr:to>
      <xdr:col>13</xdr:col>
      <xdr:colOff>0</xdr:colOff>
      <xdr:row>20</xdr:row>
      <xdr:rowOff>141941</xdr:rowOff>
    </xdr:to>
    <xdr:graphicFrame macro="">
      <xdr:nvGraphicFramePr>
        <xdr:cNvPr id="4" name="Chart 3">
          <a:extLst>
            <a:ext uri="{FF2B5EF4-FFF2-40B4-BE49-F238E27FC236}">
              <a16:creationId xmlns:a16="http://schemas.microsoft.com/office/drawing/2014/main" id="{ABC2A08F-126E-41BE-8D59-ACBF30183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157413</xdr:colOff>
      <xdr:row>4</xdr:row>
      <xdr:rowOff>58184</xdr:rowOff>
    </xdr:from>
    <xdr:to>
      <xdr:col>3</xdr:col>
      <xdr:colOff>78065</xdr:colOff>
      <xdr:row>12</xdr:row>
      <xdr:rowOff>94411</xdr:rowOff>
    </xdr:to>
    <mc:AlternateContent xmlns:mc="http://schemas.openxmlformats.org/markup-compatibility/2006" xmlns:a14="http://schemas.microsoft.com/office/drawing/2010/main">
      <mc:Choice Requires="a14">
        <xdr:graphicFrame macro="">
          <xdr:nvGraphicFramePr>
            <xdr:cNvPr id="5" name="platform 1">
              <a:extLst>
                <a:ext uri="{FF2B5EF4-FFF2-40B4-BE49-F238E27FC236}">
                  <a16:creationId xmlns:a16="http://schemas.microsoft.com/office/drawing/2014/main" id="{11894837-52E9-43D1-8109-1412CD1EC294}"/>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57413" y="1079588"/>
              <a:ext cx="1833758" cy="1462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120059</xdr:colOff>
      <xdr:row>13</xdr:row>
      <xdr:rowOff>39333</xdr:rowOff>
    </xdr:from>
    <xdr:to>
      <xdr:col>3</xdr:col>
      <xdr:colOff>68697</xdr:colOff>
      <xdr:row>51</xdr:row>
      <xdr:rowOff>145360</xdr:rowOff>
    </xdr:to>
    <mc:AlternateContent xmlns:mc="http://schemas.openxmlformats.org/markup-compatibility/2006" xmlns:a14="http://schemas.microsoft.com/office/drawing/2010/main">
      <mc:Choice Requires="a14">
        <xdr:graphicFrame macro="">
          <xdr:nvGraphicFramePr>
            <xdr:cNvPr id="6" name="Week 1">
              <a:extLst>
                <a:ext uri="{FF2B5EF4-FFF2-40B4-BE49-F238E27FC236}">
                  <a16:creationId xmlns:a16="http://schemas.microsoft.com/office/drawing/2014/main" id="{2033ACBF-2499-4539-9EF8-A38308C432BD}"/>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120059" y="2665801"/>
              <a:ext cx="1861744" cy="6882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144399</xdr:colOff>
      <xdr:row>0</xdr:row>
      <xdr:rowOff>70642</xdr:rowOff>
    </xdr:from>
    <xdr:to>
      <xdr:col>1</xdr:col>
      <xdr:colOff>0</xdr:colOff>
      <xdr:row>2</xdr:row>
      <xdr:rowOff>62320</xdr:rowOff>
    </xdr:to>
    <xdr:pic>
      <xdr:nvPicPr>
        <xdr:cNvPr id="13" name="Picture 12">
          <a:extLst>
            <a:ext uri="{FF2B5EF4-FFF2-40B4-BE49-F238E27FC236}">
              <a16:creationId xmlns:a16="http://schemas.microsoft.com/office/drawing/2014/main" id="{FD12E1B3-E435-55BD-357B-8A0C41AF8994}"/>
            </a:ext>
          </a:extLst>
        </xdr:cNvPr>
        <xdr:cNvPicPr>
          <a:picLocks noChangeAspect="1"/>
        </xdr:cNvPicPr>
      </xdr:nvPicPr>
      <xdr:blipFill>
        <a:blip xmlns:r="http://schemas.openxmlformats.org/officeDocument/2006/relationships" r:embed="rId2"/>
        <a:stretch>
          <a:fillRect/>
        </a:stretch>
      </xdr:blipFill>
      <xdr:spPr>
        <a:xfrm>
          <a:off x="144399" y="70642"/>
          <a:ext cx="542895" cy="537031"/>
        </a:xfrm>
        <a:prstGeom prst="rect">
          <a:avLst/>
        </a:prstGeom>
      </xdr:spPr>
    </xdr:pic>
    <xdr:clientData/>
  </xdr:twoCellAnchor>
  <xdr:twoCellAnchor>
    <xdr:from>
      <xdr:col>6</xdr:col>
      <xdr:colOff>354419</xdr:colOff>
      <xdr:row>0</xdr:row>
      <xdr:rowOff>128597</xdr:rowOff>
    </xdr:from>
    <xdr:to>
      <xdr:col>9</xdr:col>
      <xdr:colOff>602511</xdr:colOff>
      <xdr:row>3</xdr:row>
      <xdr:rowOff>88604</xdr:rowOff>
    </xdr:to>
    <xdr:sp macro="" textlink="">
      <xdr:nvSpPr>
        <xdr:cNvPr id="14" name="Rectangle: Rounded Corners 13">
          <a:extLst>
            <a:ext uri="{FF2B5EF4-FFF2-40B4-BE49-F238E27FC236}">
              <a16:creationId xmlns:a16="http://schemas.microsoft.com/office/drawing/2014/main" id="{F912BA75-62BC-8FBB-FD5F-D7903E2C7045}"/>
            </a:ext>
          </a:extLst>
        </xdr:cNvPr>
        <xdr:cNvSpPr/>
      </xdr:nvSpPr>
      <xdr:spPr>
        <a:xfrm>
          <a:off x="4093535" y="128597"/>
          <a:ext cx="2082209" cy="801751"/>
        </a:xfrm>
        <a:prstGeom prst="roundRect">
          <a:avLst/>
        </a:prstGeom>
        <a:solidFill>
          <a:srgbClr val="E84D9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1600" b="1"/>
            <a:t>Total New Fans</a:t>
          </a:r>
        </a:p>
      </xdr:txBody>
    </xdr:sp>
    <xdr:clientData/>
  </xdr:twoCellAnchor>
  <xdr:oneCellAnchor>
    <xdr:from>
      <xdr:col>7</xdr:col>
      <xdr:colOff>432128</xdr:colOff>
      <xdr:row>1</xdr:row>
      <xdr:rowOff>302226</xdr:rowOff>
    </xdr:from>
    <xdr:ext cx="1318260" cy="352348"/>
    <xdr:sp macro="" textlink="report!N3">
      <xdr:nvSpPr>
        <xdr:cNvPr id="15" name="TextBox 14">
          <a:extLst>
            <a:ext uri="{FF2B5EF4-FFF2-40B4-BE49-F238E27FC236}">
              <a16:creationId xmlns:a16="http://schemas.microsoft.com/office/drawing/2014/main" id="{F2296176-9846-DC4E-F5E4-0CCB36976C62}"/>
            </a:ext>
          </a:extLst>
        </xdr:cNvPr>
        <xdr:cNvSpPr txBox="1"/>
      </xdr:nvSpPr>
      <xdr:spPr>
        <a:xfrm>
          <a:off x="4782616" y="488296"/>
          <a:ext cx="1318260" cy="352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C874ED0-BC9D-4BEA-94D2-EBDF9A3463E7}" type="TxLink">
            <a:rPr lang="en-US" sz="1600" b="1" i="0" u="none" strike="noStrike">
              <a:solidFill>
                <a:schemeClr val="bg1"/>
              </a:solidFill>
              <a:latin typeface="Calibri"/>
              <a:ea typeface="Calibri"/>
              <a:cs typeface="Calibri"/>
            </a:rPr>
            <a:pPr/>
            <a:t> 4,195 </a:t>
          </a:fld>
          <a:endParaRPr lang="en-US" sz="2400" b="1">
            <a:solidFill>
              <a:schemeClr val="bg1"/>
            </a:solidFill>
          </a:endParaRPr>
        </a:p>
      </xdr:txBody>
    </xdr:sp>
    <xdr:clientData/>
  </xdr:oneCellAnchor>
  <xdr:twoCellAnchor>
    <xdr:from>
      <xdr:col>10</xdr:col>
      <xdr:colOff>274674</xdr:colOff>
      <xdr:row>0</xdr:row>
      <xdr:rowOff>136688</xdr:rowOff>
    </xdr:from>
    <xdr:to>
      <xdr:col>13</xdr:col>
      <xdr:colOff>575930</xdr:colOff>
      <xdr:row>3</xdr:row>
      <xdr:rowOff>77340</xdr:rowOff>
    </xdr:to>
    <xdr:sp macro="" textlink="">
      <xdr:nvSpPr>
        <xdr:cNvPr id="16" name="Rectangle: Rounded Corners 15">
          <a:extLst>
            <a:ext uri="{FF2B5EF4-FFF2-40B4-BE49-F238E27FC236}">
              <a16:creationId xmlns:a16="http://schemas.microsoft.com/office/drawing/2014/main" id="{C14142D5-175D-4C78-8985-0A502D9AD2D4}"/>
            </a:ext>
          </a:extLst>
        </xdr:cNvPr>
        <xdr:cNvSpPr/>
      </xdr:nvSpPr>
      <xdr:spPr>
        <a:xfrm>
          <a:off x="6459279" y="136688"/>
          <a:ext cx="2135372" cy="782396"/>
        </a:xfrm>
        <a:prstGeom prst="roundRect">
          <a:avLst/>
        </a:prstGeom>
        <a:solidFill>
          <a:srgbClr val="E84D9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t>Total Impressions </a:t>
          </a:r>
        </a:p>
      </xdr:txBody>
    </xdr:sp>
    <xdr:clientData/>
  </xdr:twoCellAnchor>
  <xdr:oneCellAnchor>
    <xdr:from>
      <xdr:col>11</xdr:col>
      <xdr:colOff>175334</xdr:colOff>
      <xdr:row>1</xdr:row>
      <xdr:rowOff>308927</xdr:rowOff>
    </xdr:from>
    <xdr:ext cx="1463768" cy="352348"/>
    <xdr:sp macro="" textlink="report!M3">
      <xdr:nvSpPr>
        <xdr:cNvPr id="17" name="TextBox 16">
          <a:extLst>
            <a:ext uri="{FF2B5EF4-FFF2-40B4-BE49-F238E27FC236}">
              <a16:creationId xmlns:a16="http://schemas.microsoft.com/office/drawing/2014/main" id="{C8EE30EE-C5A4-474E-999B-75E61E0DB08A}"/>
            </a:ext>
          </a:extLst>
        </xdr:cNvPr>
        <xdr:cNvSpPr txBox="1"/>
      </xdr:nvSpPr>
      <xdr:spPr>
        <a:xfrm>
          <a:off x="6971311" y="494997"/>
          <a:ext cx="1463768" cy="352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368727C-C3CF-43DE-861A-9B48BE7A4310}" type="TxLink">
            <a:rPr lang="en-US" sz="1600" b="1" i="0" u="none" strike="noStrike">
              <a:solidFill>
                <a:schemeClr val="bg1"/>
              </a:solidFill>
              <a:latin typeface="Calibri"/>
              <a:ea typeface="Calibri"/>
              <a:cs typeface="Calibri"/>
            </a:rPr>
            <a:pPr/>
            <a:t> 2,341,079 </a:t>
          </a:fld>
          <a:endParaRPr lang="en-US" sz="2400" b="1">
            <a:solidFill>
              <a:schemeClr val="bg1"/>
            </a:solidFill>
          </a:endParaRPr>
        </a:p>
      </xdr:txBody>
    </xdr:sp>
    <xdr:clientData/>
  </xdr:oneCellAnchor>
  <xdr:twoCellAnchor>
    <xdr:from>
      <xdr:col>14</xdr:col>
      <xdr:colOff>212651</xdr:colOff>
      <xdr:row>0</xdr:row>
      <xdr:rowOff>131278</xdr:rowOff>
    </xdr:from>
    <xdr:to>
      <xdr:col>17</xdr:col>
      <xdr:colOff>443023</xdr:colOff>
      <xdr:row>3</xdr:row>
      <xdr:rowOff>67293</xdr:rowOff>
    </xdr:to>
    <xdr:sp macro="" textlink="">
      <xdr:nvSpPr>
        <xdr:cNvPr id="18" name="Rectangle: Rounded Corners 17">
          <a:extLst>
            <a:ext uri="{FF2B5EF4-FFF2-40B4-BE49-F238E27FC236}">
              <a16:creationId xmlns:a16="http://schemas.microsoft.com/office/drawing/2014/main" id="{31AF675D-775B-4E9A-8D37-30BAB910A588}"/>
            </a:ext>
          </a:extLst>
        </xdr:cNvPr>
        <xdr:cNvSpPr/>
      </xdr:nvSpPr>
      <xdr:spPr>
        <a:xfrm>
          <a:off x="8842744" y="131278"/>
          <a:ext cx="2064488" cy="777759"/>
        </a:xfrm>
        <a:prstGeom prst="roundRect">
          <a:avLst/>
        </a:prstGeom>
        <a:solidFill>
          <a:srgbClr val="E84D9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Likes</a:t>
          </a:r>
          <a:endParaRPr lang="en-US" sz="1600" b="1"/>
        </a:p>
      </xdr:txBody>
    </xdr:sp>
    <xdr:clientData/>
  </xdr:twoCellAnchor>
  <xdr:oneCellAnchor>
    <xdr:from>
      <xdr:col>14</xdr:col>
      <xdr:colOff>605014</xdr:colOff>
      <xdr:row>1</xdr:row>
      <xdr:rowOff>320160</xdr:rowOff>
    </xdr:from>
    <xdr:ext cx="1318260" cy="352348"/>
    <xdr:sp macro="" textlink="report!K3">
      <xdr:nvSpPr>
        <xdr:cNvPr id="19" name="TextBox 18">
          <a:extLst>
            <a:ext uri="{FF2B5EF4-FFF2-40B4-BE49-F238E27FC236}">
              <a16:creationId xmlns:a16="http://schemas.microsoft.com/office/drawing/2014/main" id="{96FB7C22-6BAD-4829-AF31-4282EB974141}"/>
            </a:ext>
          </a:extLst>
        </xdr:cNvPr>
        <xdr:cNvSpPr txBox="1"/>
      </xdr:nvSpPr>
      <xdr:spPr>
        <a:xfrm>
          <a:off x="9235107" y="506230"/>
          <a:ext cx="1318260" cy="352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9671567-3734-4080-8C58-F523802B8563}" type="TxLink">
            <a:rPr lang="en-US" sz="1600" b="1" i="0" u="none" strike="noStrike">
              <a:solidFill>
                <a:schemeClr val="bg1"/>
              </a:solidFill>
              <a:latin typeface="Calibri"/>
              <a:ea typeface="Calibri"/>
              <a:cs typeface="Calibri"/>
            </a:rPr>
            <a:pPr/>
            <a:t> 216,038 </a:t>
          </a:fld>
          <a:endParaRPr lang="en-US" sz="1600" b="1">
            <a:solidFill>
              <a:schemeClr val="bg1"/>
            </a:solidFill>
          </a:endParaRPr>
        </a:p>
      </xdr:txBody>
    </xdr:sp>
    <xdr:clientData/>
  </xdr:oneCellAnchor>
  <xdr:twoCellAnchor>
    <xdr:from>
      <xdr:col>18</xdr:col>
      <xdr:colOff>73154</xdr:colOff>
      <xdr:row>0</xdr:row>
      <xdr:rowOff>138747</xdr:rowOff>
    </xdr:from>
    <xdr:to>
      <xdr:col>21</xdr:col>
      <xdr:colOff>274674</xdr:colOff>
      <xdr:row>3</xdr:row>
      <xdr:rowOff>74762</xdr:rowOff>
    </xdr:to>
    <xdr:sp macro="" textlink="">
      <xdr:nvSpPr>
        <xdr:cNvPr id="20" name="Rectangle: Rounded Corners 19">
          <a:extLst>
            <a:ext uri="{FF2B5EF4-FFF2-40B4-BE49-F238E27FC236}">
              <a16:creationId xmlns:a16="http://schemas.microsoft.com/office/drawing/2014/main" id="{389EC915-3052-4C92-8035-C2E8A7C84DE0}"/>
            </a:ext>
          </a:extLst>
        </xdr:cNvPr>
        <xdr:cNvSpPr/>
      </xdr:nvSpPr>
      <xdr:spPr>
        <a:xfrm>
          <a:off x="11148735" y="138747"/>
          <a:ext cx="2035637" cy="777759"/>
        </a:xfrm>
        <a:prstGeom prst="roundRect">
          <a:avLst/>
        </a:prstGeom>
        <a:solidFill>
          <a:srgbClr val="E84D9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t>Total Post</a:t>
          </a:r>
          <a:r>
            <a:rPr lang="en-US" sz="1600" b="1" baseline="0"/>
            <a:t> Reash</a:t>
          </a:r>
          <a:endParaRPr lang="en-US" sz="1600" b="1"/>
        </a:p>
      </xdr:txBody>
    </xdr:sp>
    <xdr:clientData/>
  </xdr:twoCellAnchor>
  <xdr:oneCellAnchor>
    <xdr:from>
      <xdr:col>18</xdr:col>
      <xdr:colOff>552057</xdr:colOff>
      <xdr:row>1</xdr:row>
      <xdr:rowOff>291409</xdr:rowOff>
    </xdr:from>
    <xdr:ext cx="1318260" cy="352348"/>
    <xdr:sp macro="" textlink="report!L3">
      <xdr:nvSpPr>
        <xdr:cNvPr id="21" name="TextBox 20">
          <a:extLst>
            <a:ext uri="{FF2B5EF4-FFF2-40B4-BE49-F238E27FC236}">
              <a16:creationId xmlns:a16="http://schemas.microsoft.com/office/drawing/2014/main" id="{96B7733C-067C-416C-B463-B483AC038AC1}"/>
            </a:ext>
          </a:extLst>
        </xdr:cNvPr>
        <xdr:cNvSpPr txBox="1"/>
      </xdr:nvSpPr>
      <xdr:spPr>
        <a:xfrm>
          <a:off x="11627638" y="477479"/>
          <a:ext cx="1318260" cy="352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E274D7A-5107-4089-9679-C9F49DD74BB8}" type="TxLink">
            <a:rPr lang="en-US" sz="1600" b="1" i="0" u="none" strike="noStrike">
              <a:solidFill>
                <a:schemeClr val="bg1"/>
              </a:solidFill>
              <a:latin typeface="Calibri"/>
              <a:ea typeface="Calibri"/>
              <a:cs typeface="Calibri"/>
            </a:rPr>
            <a:pPr/>
            <a:t> 1,643,498 </a:t>
          </a:fld>
          <a:endParaRPr lang="en-US" sz="2400" b="1">
            <a:solidFill>
              <a:schemeClr val="bg1"/>
            </a:solidFill>
          </a:endParaRPr>
        </a:p>
      </xdr:txBody>
    </xdr:sp>
    <xdr:clientData/>
  </xdr:oneCellAnchor>
  <xdr:twoCellAnchor>
    <xdr:from>
      <xdr:col>13</xdr:col>
      <xdr:colOff>195868</xdr:colOff>
      <xdr:row>4</xdr:row>
      <xdr:rowOff>91703</xdr:rowOff>
    </xdr:from>
    <xdr:to>
      <xdr:col>21</xdr:col>
      <xdr:colOff>541284</xdr:colOff>
      <xdr:row>20</xdr:row>
      <xdr:rowOff>84848</xdr:rowOff>
    </xdr:to>
    <xdr:graphicFrame macro="">
      <xdr:nvGraphicFramePr>
        <xdr:cNvPr id="22" name="Chart 21">
          <a:extLst>
            <a:ext uri="{FF2B5EF4-FFF2-40B4-BE49-F238E27FC236}">
              <a16:creationId xmlns:a16="http://schemas.microsoft.com/office/drawing/2014/main" id="{63296229-5C49-4D8D-94BD-43136ED15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214510</xdr:colOff>
      <xdr:row>37</xdr:row>
      <xdr:rowOff>69968</xdr:rowOff>
    </xdr:from>
    <xdr:to>
      <xdr:col>21</xdr:col>
      <xdr:colOff>563217</xdr:colOff>
      <xdr:row>52</xdr:row>
      <xdr:rowOff>54204</xdr:rowOff>
    </xdr:to>
    <xdr:graphicFrame macro="">
      <xdr:nvGraphicFramePr>
        <xdr:cNvPr id="25" name="Chart 24">
          <a:extLst>
            <a:ext uri="{FF2B5EF4-FFF2-40B4-BE49-F238E27FC236}">
              <a16:creationId xmlns:a16="http://schemas.microsoft.com/office/drawing/2014/main" id="{101BB01D-41D7-43C5-9BFA-ABD3DCE64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584792</xdr:colOff>
      <xdr:row>0</xdr:row>
      <xdr:rowOff>150627</xdr:rowOff>
    </xdr:from>
    <xdr:to>
      <xdr:col>7</xdr:col>
      <xdr:colOff>278263</xdr:colOff>
      <xdr:row>1</xdr:row>
      <xdr:rowOff>269400</xdr:rowOff>
    </xdr:to>
    <xdr:pic>
      <xdr:nvPicPr>
        <xdr:cNvPr id="27" name="Picture 26">
          <a:extLst>
            <a:ext uri="{FF2B5EF4-FFF2-40B4-BE49-F238E27FC236}">
              <a16:creationId xmlns:a16="http://schemas.microsoft.com/office/drawing/2014/main" id="{B40E7004-283C-7DF4-1387-6A1C7571DDD9}"/>
            </a:ext>
          </a:extLst>
        </xdr:cNvPr>
        <xdr:cNvPicPr>
          <a:picLocks noChangeAspect="1"/>
        </xdr:cNvPicPr>
      </xdr:nvPicPr>
      <xdr:blipFill>
        <a:blip xmlns:r="http://schemas.openxmlformats.org/officeDocument/2006/relationships" r:embed="rId5"/>
        <a:stretch>
          <a:fillRect/>
        </a:stretch>
      </xdr:blipFill>
      <xdr:spPr>
        <a:xfrm>
          <a:off x="4323908" y="150627"/>
          <a:ext cx="304843" cy="304843"/>
        </a:xfrm>
        <a:prstGeom prst="rect">
          <a:avLst/>
        </a:prstGeom>
      </xdr:spPr>
    </xdr:pic>
    <xdr:clientData/>
  </xdr:twoCellAnchor>
  <xdr:twoCellAnchor editAs="oneCell">
    <xdr:from>
      <xdr:col>10</xdr:col>
      <xdr:colOff>416441</xdr:colOff>
      <xdr:row>1</xdr:row>
      <xdr:rowOff>35441</xdr:rowOff>
    </xdr:from>
    <xdr:to>
      <xdr:col>11</xdr:col>
      <xdr:colOff>109912</xdr:colOff>
      <xdr:row>1</xdr:row>
      <xdr:rowOff>340284</xdr:rowOff>
    </xdr:to>
    <xdr:pic>
      <xdr:nvPicPr>
        <xdr:cNvPr id="28" name="Picture 27">
          <a:extLst>
            <a:ext uri="{FF2B5EF4-FFF2-40B4-BE49-F238E27FC236}">
              <a16:creationId xmlns:a16="http://schemas.microsoft.com/office/drawing/2014/main" id="{28F1DF08-C951-E28A-09E0-97C28EC4404D}"/>
            </a:ext>
          </a:extLst>
        </xdr:cNvPr>
        <xdr:cNvPicPr>
          <a:picLocks noChangeAspect="1"/>
        </xdr:cNvPicPr>
      </xdr:nvPicPr>
      <xdr:blipFill>
        <a:blip xmlns:r="http://schemas.openxmlformats.org/officeDocument/2006/relationships" r:embed="rId6"/>
        <a:stretch>
          <a:fillRect/>
        </a:stretch>
      </xdr:blipFill>
      <xdr:spPr>
        <a:xfrm>
          <a:off x="6601046" y="221511"/>
          <a:ext cx="304843" cy="304843"/>
        </a:xfrm>
        <a:prstGeom prst="rect">
          <a:avLst/>
        </a:prstGeom>
      </xdr:spPr>
    </xdr:pic>
    <xdr:clientData/>
  </xdr:twoCellAnchor>
  <xdr:twoCellAnchor editAs="oneCell">
    <xdr:from>
      <xdr:col>14</xdr:col>
      <xdr:colOff>381000</xdr:colOff>
      <xdr:row>1</xdr:row>
      <xdr:rowOff>26581</xdr:rowOff>
    </xdr:from>
    <xdr:to>
      <xdr:col>15</xdr:col>
      <xdr:colOff>74471</xdr:colOff>
      <xdr:row>1</xdr:row>
      <xdr:rowOff>331424</xdr:rowOff>
    </xdr:to>
    <xdr:pic>
      <xdr:nvPicPr>
        <xdr:cNvPr id="29" name="Picture 28">
          <a:extLst>
            <a:ext uri="{FF2B5EF4-FFF2-40B4-BE49-F238E27FC236}">
              <a16:creationId xmlns:a16="http://schemas.microsoft.com/office/drawing/2014/main" id="{3AE8AA83-BB52-D5E1-D6E2-8183C20293B8}"/>
            </a:ext>
          </a:extLst>
        </xdr:cNvPr>
        <xdr:cNvPicPr>
          <a:picLocks noChangeAspect="1"/>
        </xdr:cNvPicPr>
      </xdr:nvPicPr>
      <xdr:blipFill>
        <a:blip xmlns:r="http://schemas.openxmlformats.org/officeDocument/2006/relationships" r:embed="rId7"/>
        <a:stretch>
          <a:fillRect/>
        </a:stretch>
      </xdr:blipFill>
      <xdr:spPr>
        <a:xfrm>
          <a:off x="9011093" y="212651"/>
          <a:ext cx="304843" cy="304843"/>
        </a:xfrm>
        <a:prstGeom prst="rect">
          <a:avLst/>
        </a:prstGeom>
      </xdr:spPr>
    </xdr:pic>
    <xdr:clientData/>
  </xdr:twoCellAnchor>
  <xdr:twoCellAnchor editAs="oneCell">
    <xdr:from>
      <xdr:col>18</xdr:col>
      <xdr:colOff>186070</xdr:colOff>
      <xdr:row>1</xdr:row>
      <xdr:rowOff>0</xdr:rowOff>
    </xdr:from>
    <xdr:to>
      <xdr:col>18</xdr:col>
      <xdr:colOff>490913</xdr:colOff>
      <xdr:row>1</xdr:row>
      <xdr:rowOff>304843</xdr:rowOff>
    </xdr:to>
    <xdr:pic>
      <xdr:nvPicPr>
        <xdr:cNvPr id="30" name="Picture 29">
          <a:extLst>
            <a:ext uri="{FF2B5EF4-FFF2-40B4-BE49-F238E27FC236}">
              <a16:creationId xmlns:a16="http://schemas.microsoft.com/office/drawing/2014/main" id="{1DDAD96A-5FE8-C8D0-E191-EDD9527BF1FE}"/>
            </a:ext>
          </a:extLst>
        </xdr:cNvPr>
        <xdr:cNvPicPr>
          <a:picLocks noChangeAspect="1"/>
        </xdr:cNvPicPr>
      </xdr:nvPicPr>
      <xdr:blipFill>
        <a:blip xmlns:r="http://schemas.openxmlformats.org/officeDocument/2006/relationships" r:embed="rId5"/>
        <a:stretch>
          <a:fillRect/>
        </a:stretch>
      </xdr:blipFill>
      <xdr:spPr>
        <a:xfrm>
          <a:off x="11261651" y="186070"/>
          <a:ext cx="304843" cy="304843"/>
        </a:xfrm>
        <a:prstGeom prst="rect">
          <a:avLst/>
        </a:prstGeom>
      </xdr:spPr>
    </xdr:pic>
    <xdr:clientData/>
  </xdr:twoCellAnchor>
  <xdr:twoCellAnchor>
    <xdr:from>
      <xdr:col>12</xdr:col>
      <xdr:colOff>365125</xdr:colOff>
      <xdr:row>21</xdr:row>
      <xdr:rowOff>56055</xdr:rowOff>
    </xdr:from>
    <xdr:to>
      <xdr:col>21</xdr:col>
      <xdr:colOff>577533</xdr:colOff>
      <xdr:row>36</xdr:row>
      <xdr:rowOff>99391</xdr:rowOff>
    </xdr:to>
    <xdr:graphicFrame macro="">
      <xdr:nvGraphicFramePr>
        <xdr:cNvPr id="32" name="Chart 31">
          <a:extLst>
            <a:ext uri="{FF2B5EF4-FFF2-40B4-BE49-F238E27FC236}">
              <a16:creationId xmlns:a16="http://schemas.microsoft.com/office/drawing/2014/main" id="{2C9ADAD9-F0BD-4F02-98E1-982B6DAC2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245806</xdr:colOff>
      <xdr:row>21</xdr:row>
      <xdr:rowOff>73742</xdr:rowOff>
    </xdr:from>
    <xdr:to>
      <xdr:col>12</xdr:col>
      <xdr:colOff>159774</xdr:colOff>
      <xdr:row>36</xdr:row>
      <xdr:rowOff>76199</xdr:rowOff>
    </xdr:to>
    <xdr:graphicFrame macro="">
      <xdr:nvGraphicFramePr>
        <xdr:cNvPr id="33" name="Chart 32">
          <a:extLst>
            <a:ext uri="{FF2B5EF4-FFF2-40B4-BE49-F238E27FC236}">
              <a16:creationId xmlns:a16="http://schemas.microsoft.com/office/drawing/2014/main" id="{D4D5F5CF-5BDE-442F-BC31-5412C6A54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331357</xdr:colOff>
      <xdr:row>11</xdr:row>
      <xdr:rowOff>37510</xdr:rowOff>
    </xdr:from>
    <xdr:to>
      <xdr:col>6</xdr:col>
      <xdr:colOff>225757</xdr:colOff>
      <xdr:row>14</xdr:row>
      <xdr:rowOff>138377</xdr:rowOff>
    </xdr:to>
    <xdr:grpSp>
      <xdr:nvGrpSpPr>
        <xdr:cNvPr id="10" name="Group 9">
          <a:extLst>
            <a:ext uri="{FF2B5EF4-FFF2-40B4-BE49-F238E27FC236}">
              <a16:creationId xmlns:a16="http://schemas.microsoft.com/office/drawing/2014/main" id="{EB172D8A-945D-87A2-E4E1-E765B6C3E1C2}"/>
            </a:ext>
          </a:extLst>
        </xdr:cNvPr>
        <xdr:cNvGrpSpPr/>
      </xdr:nvGrpSpPr>
      <xdr:grpSpPr>
        <a:xfrm>
          <a:off x="3379357" y="2049190"/>
          <a:ext cx="504000" cy="649507"/>
          <a:chOff x="7483171" y="702283"/>
          <a:chExt cx="504000" cy="655376"/>
        </a:xfrm>
      </xdr:grpSpPr>
      <xdr:grpSp>
        <xdr:nvGrpSpPr>
          <xdr:cNvPr id="26" name="Group 25">
            <a:extLst>
              <a:ext uri="{FF2B5EF4-FFF2-40B4-BE49-F238E27FC236}">
                <a16:creationId xmlns:a16="http://schemas.microsoft.com/office/drawing/2014/main" id="{F275CED8-BF82-B7F5-5D0A-D2FA42A124AE}"/>
              </a:ext>
            </a:extLst>
          </xdr:cNvPr>
          <xdr:cNvGrpSpPr/>
        </xdr:nvGrpSpPr>
        <xdr:grpSpPr>
          <a:xfrm>
            <a:off x="7483171" y="702283"/>
            <a:ext cx="504000" cy="500515"/>
            <a:chOff x="7231380" y="791277"/>
            <a:chExt cx="576000" cy="586527"/>
          </a:xfrm>
        </xdr:grpSpPr>
        <xdr:sp macro="" textlink="">
          <xdr:nvSpPr>
            <xdr:cNvPr id="28" name="Rectangle: Rounded Corners 27">
              <a:extLst>
                <a:ext uri="{FF2B5EF4-FFF2-40B4-BE49-F238E27FC236}">
                  <a16:creationId xmlns:a16="http://schemas.microsoft.com/office/drawing/2014/main" id="{88B0FAAD-683B-08A5-A653-248E6429AAEF}"/>
                </a:ext>
              </a:extLst>
            </xdr:cNvPr>
            <xdr:cNvSpPr/>
          </xdr:nvSpPr>
          <xdr:spPr>
            <a:xfrm>
              <a:off x="7231380" y="791277"/>
              <a:ext cx="576000" cy="586527"/>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9" name="Picture 28">
              <a:extLst>
                <a:ext uri="{FF2B5EF4-FFF2-40B4-BE49-F238E27FC236}">
                  <a16:creationId xmlns:a16="http://schemas.microsoft.com/office/drawing/2014/main" id="{463F171F-3D5F-147E-5202-FF90DC20F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274223" y="832540"/>
              <a:ext cx="499023" cy="504000"/>
            </a:xfrm>
            <a:prstGeom prst="rect">
              <a:avLst/>
            </a:prstGeom>
          </xdr:spPr>
        </xdr:pic>
      </xdr:grpSp>
      <xdr:pic>
        <xdr:nvPicPr>
          <xdr:cNvPr id="27" name="Graphic 26">
            <a:extLst>
              <a:ext uri="{FF2B5EF4-FFF2-40B4-BE49-F238E27FC236}">
                <a16:creationId xmlns:a16="http://schemas.microsoft.com/office/drawing/2014/main" id="{A338BE85-5F9F-F0AF-B6DA-6D4C5898CA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6200000">
            <a:off x="7664293" y="1058427"/>
            <a:ext cx="130464" cy="468000"/>
          </a:xfrm>
          <a:prstGeom prst="rect">
            <a:avLst/>
          </a:prstGeom>
        </xdr:spPr>
      </xdr:pic>
    </xdr:grpSp>
    <xdr:clientData/>
  </xdr:twoCellAnchor>
  <xdr:twoCellAnchor>
    <xdr:from>
      <xdr:col>3</xdr:col>
      <xdr:colOff>110488</xdr:colOff>
      <xdr:row>11</xdr:row>
      <xdr:rowOff>37510</xdr:rowOff>
    </xdr:from>
    <xdr:to>
      <xdr:col>4</xdr:col>
      <xdr:colOff>4888</xdr:colOff>
      <xdr:row>14</xdr:row>
      <xdr:rowOff>138377</xdr:rowOff>
    </xdr:to>
    <xdr:grpSp>
      <xdr:nvGrpSpPr>
        <xdr:cNvPr id="11" name="Group 10">
          <a:extLst>
            <a:ext uri="{FF2B5EF4-FFF2-40B4-BE49-F238E27FC236}">
              <a16:creationId xmlns:a16="http://schemas.microsoft.com/office/drawing/2014/main" id="{3D99FAA9-E559-FAA6-AAB7-D97BDD6FEB9D}"/>
            </a:ext>
          </a:extLst>
        </xdr:cNvPr>
        <xdr:cNvGrpSpPr/>
      </xdr:nvGrpSpPr>
      <xdr:grpSpPr>
        <a:xfrm>
          <a:off x="1939288" y="2049190"/>
          <a:ext cx="504000" cy="649507"/>
          <a:chOff x="8351189" y="702283"/>
          <a:chExt cx="504000" cy="655376"/>
        </a:xfrm>
      </xdr:grpSpPr>
      <xdr:grpSp>
        <xdr:nvGrpSpPr>
          <xdr:cNvPr id="22" name="Group 21">
            <a:extLst>
              <a:ext uri="{FF2B5EF4-FFF2-40B4-BE49-F238E27FC236}">
                <a16:creationId xmlns:a16="http://schemas.microsoft.com/office/drawing/2014/main" id="{01FC9D92-E5CB-AB7B-808E-4EC004A82203}"/>
              </a:ext>
            </a:extLst>
          </xdr:cNvPr>
          <xdr:cNvGrpSpPr/>
        </xdr:nvGrpSpPr>
        <xdr:grpSpPr>
          <a:xfrm>
            <a:off x="8351189" y="702283"/>
            <a:ext cx="504000" cy="500515"/>
            <a:chOff x="7231380" y="791277"/>
            <a:chExt cx="576000" cy="586527"/>
          </a:xfrm>
        </xdr:grpSpPr>
        <xdr:sp macro="" textlink="">
          <xdr:nvSpPr>
            <xdr:cNvPr id="24" name="Rectangle: Rounded Corners 23">
              <a:extLst>
                <a:ext uri="{FF2B5EF4-FFF2-40B4-BE49-F238E27FC236}">
                  <a16:creationId xmlns:a16="http://schemas.microsoft.com/office/drawing/2014/main" id="{D9FBF236-2FFC-5676-F663-BC148755E3F5}"/>
                </a:ext>
              </a:extLst>
            </xdr:cNvPr>
            <xdr:cNvSpPr/>
          </xdr:nvSpPr>
          <xdr:spPr>
            <a:xfrm>
              <a:off x="7231380" y="791277"/>
              <a:ext cx="576000" cy="586527"/>
            </a:xfrm>
            <a:prstGeom prst="roundRect">
              <a:avLst/>
            </a:prstGeom>
            <a:noFill/>
            <a:ln w="28575">
              <a:solidFill>
                <a:srgbClr val="DE087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5" name="Picture 24">
              <a:extLst>
                <a:ext uri="{FF2B5EF4-FFF2-40B4-BE49-F238E27FC236}">
                  <a16:creationId xmlns:a16="http://schemas.microsoft.com/office/drawing/2014/main" id="{2BE4BA12-5EB7-BCFB-5798-28CF04108F0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274223" y="836357"/>
              <a:ext cx="499023" cy="496367"/>
            </a:xfrm>
            <a:prstGeom prst="rect">
              <a:avLst/>
            </a:prstGeom>
          </xdr:spPr>
        </xdr:pic>
      </xdr:grpSp>
      <xdr:pic>
        <xdr:nvPicPr>
          <xdr:cNvPr id="23" name="Graphic 22">
            <a:extLst>
              <a:ext uri="{FF2B5EF4-FFF2-40B4-BE49-F238E27FC236}">
                <a16:creationId xmlns:a16="http://schemas.microsoft.com/office/drawing/2014/main" id="{9A40AA7F-F2FC-D301-E37E-2A6820E8C1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8541523" y="1058427"/>
            <a:ext cx="130464" cy="468000"/>
          </a:xfrm>
          <a:prstGeom prst="rect">
            <a:avLst/>
          </a:prstGeom>
        </xdr:spPr>
      </xdr:pic>
    </xdr:grpSp>
    <xdr:clientData/>
  </xdr:twoCellAnchor>
  <xdr:twoCellAnchor>
    <xdr:from>
      <xdr:col>4</xdr:col>
      <xdr:colOff>220922</xdr:colOff>
      <xdr:row>11</xdr:row>
      <xdr:rowOff>29341</xdr:rowOff>
    </xdr:from>
    <xdr:to>
      <xdr:col>5</xdr:col>
      <xdr:colOff>115322</xdr:colOff>
      <xdr:row>14</xdr:row>
      <xdr:rowOff>146546</xdr:rowOff>
    </xdr:to>
    <xdr:grpSp>
      <xdr:nvGrpSpPr>
        <xdr:cNvPr id="12" name="Group 11">
          <a:extLst>
            <a:ext uri="{FF2B5EF4-FFF2-40B4-BE49-F238E27FC236}">
              <a16:creationId xmlns:a16="http://schemas.microsoft.com/office/drawing/2014/main" id="{5576E2F1-65B3-BA3C-0F53-296693C2CC42}"/>
            </a:ext>
          </a:extLst>
        </xdr:cNvPr>
        <xdr:cNvGrpSpPr/>
      </xdr:nvGrpSpPr>
      <xdr:grpSpPr>
        <a:xfrm>
          <a:off x="2659322" y="2041021"/>
          <a:ext cx="504000" cy="665845"/>
          <a:chOff x="7483171" y="1505179"/>
          <a:chExt cx="504000" cy="671862"/>
        </a:xfrm>
      </xdr:grpSpPr>
      <xdr:grpSp>
        <xdr:nvGrpSpPr>
          <xdr:cNvPr id="18" name="Group 17">
            <a:extLst>
              <a:ext uri="{FF2B5EF4-FFF2-40B4-BE49-F238E27FC236}">
                <a16:creationId xmlns:a16="http://schemas.microsoft.com/office/drawing/2014/main" id="{31475100-FA70-22FF-45F3-E35E3EBCCCEF}"/>
              </a:ext>
            </a:extLst>
          </xdr:cNvPr>
          <xdr:cNvGrpSpPr/>
        </xdr:nvGrpSpPr>
        <xdr:grpSpPr>
          <a:xfrm>
            <a:off x="7483171" y="1505179"/>
            <a:ext cx="504000" cy="500516"/>
            <a:chOff x="7231380" y="791277"/>
            <a:chExt cx="576000" cy="586527"/>
          </a:xfrm>
        </xdr:grpSpPr>
        <xdr:sp macro="" textlink="">
          <xdr:nvSpPr>
            <xdr:cNvPr id="20" name="Rectangle: Rounded Corners 19">
              <a:extLst>
                <a:ext uri="{FF2B5EF4-FFF2-40B4-BE49-F238E27FC236}">
                  <a16:creationId xmlns:a16="http://schemas.microsoft.com/office/drawing/2014/main" id="{8C401C58-627B-FFFB-63C1-3D4FF17C60E9}"/>
                </a:ext>
              </a:extLst>
            </xdr:cNvPr>
            <xdr:cNvSpPr/>
          </xdr:nvSpPr>
          <xdr:spPr>
            <a:xfrm>
              <a:off x="7231380" y="791277"/>
              <a:ext cx="576000" cy="586527"/>
            </a:xfrm>
            <a:prstGeom prst="roundRect">
              <a:avLst/>
            </a:prstGeom>
            <a:noFill/>
            <a:ln w="28575">
              <a:solidFill>
                <a:srgbClr val="7ADD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1" name="Picture 20">
              <a:extLst>
                <a:ext uri="{FF2B5EF4-FFF2-40B4-BE49-F238E27FC236}">
                  <a16:creationId xmlns:a16="http://schemas.microsoft.com/office/drawing/2014/main" id="{35D514AE-0902-AA24-5449-7E8BF76882A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7278215" y="832540"/>
              <a:ext cx="491039" cy="504000"/>
            </a:xfrm>
            <a:prstGeom prst="rect">
              <a:avLst/>
            </a:prstGeom>
          </xdr:spPr>
        </xdr:pic>
      </xdr:grpSp>
      <xdr:pic>
        <xdr:nvPicPr>
          <xdr:cNvPr id="19" name="Graphic 18">
            <a:extLst>
              <a:ext uri="{FF2B5EF4-FFF2-40B4-BE49-F238E27FC236}">
                <a16:creationId xmlns:a16="http://schemas.microsoft.com/office/drawing/2014/main" id="{A5FE1ABD-DC52-E4D7-A55E-93203955385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6200000">
            <a:off x="7664294" y="1877810"/>
            <a:ext cx="130463" cy="468000"/>
          </a:xfrm>
          <a:prstGeom prst="rect">
            <a:avLst/>
          </a:prstGeom>
        </xdr:spPr>
      </xdr:pic>
    </xdr:grpSp>
    <xdr:clientData/>
  </xdr:twoCellAnchor>
  <xdr:twoCellAnchor>
    <xdr:from>
      <xdr:col>2</xdr:col>
      <xdr:colOff>54</xdr:colOff>
      <xdr:row>11</xdr:row>
      <xdr:rowOff>29342</xdr:rowOff>
    </xdr:from>
    <xdr:to>
      <xdr:col>2</xdr:col>
      <xdr:colOff>504054</xdr:colOff>
      <xdr:row>14</xdr:row>
      <xdr:rowOff>146546</xdr:rowOff>
    </xdr:to>
    <xdr:grpSp>
      <xdr:nvGrpSpPr>
        <xdr:cNvPr id="13" name="Group 12">
          <a:extLst>
            <a:ext uri="{FF2B5EF4-FFF2-40B4-BE49-F238E27FC236}">
              <a16:creationId xmlns:a16="http://schemas.microsoft.com/office/drawing/2014/main" id="{EA8DEA54-5463-2F68-8171-1488AED58902}"/>
            </a:ext>
          </a:extLst>
        </xdr:cNvPr>
        <xdr:cNvGrpSpPr/>
      </xdr:nvGrpSpPr>
      <xdr:grpSpPr>
        <a:xfrm>
          <a:off x="1219254" y="2041022"/>
          <a:ext cx="504000" cy="665844"/>
          <a:chOff x="8351189" y="1505180"/>
          <a:chExt cx="504000" cy="671861"/>
        </a:xfrm>
      </xdr:grpSpPr>
      <xdr:grpSp>
        <xdr:nvGrpSpPr>
          <xdr:cNvPr id="14" name="Group 13">
            <a:extLst>
              <a:ext uri="{FF2B5EF4-FFF2-40B4-BE49-F238E27FC236}">
                <a16:creationId xmlns:a16="http://schemas.microsoft.com/office/drawing/2014/main" id="{71BBEE50-2E57-F987-AE28-E3DDD7102398}"/>
              </a:ext>
            </a:extLst>
          </xdr:cNvPr>
          <xdr:cNvGrpSpPr/>
        </xdr:nvGrpSpPr>
        <xdr:grpSpPr>
          <a:xfrm>
            <a:off x="8351189" y="1505180"/>
            <a:ext cx="504000" cy="500516"/>
            <a:chOff x="7231380" y="791278"/>
            <a:chExt cx="576000" cy="586527"/>
          </a:xfrm>
        </xdr:grpSpPr>
        <xdr:sp macro="" textlink="">
          <xdr:nvSpPr>
            <xdr:cNvPr id="16" name="Rectangle: Rounded Corners 15">
              <a:extLst>
                <a:ext uri="{FF2B5EF4-FFF2-40B4-BE49-F238E27FC236}">
                  <a16:creationId xmlns:a16="http://schemas.microsoft.com/office/drawing/2014/main" id="{F4FF213C-822F-EBC8-9D38-040345C7DEAB}"/>
                </a:ext>
              </a:extLst>
            </xdr:cNvPr>
            <xdr:cNvSpPr/>
          </xdr:nvSpPr>
          <xdr:spPr>
            <a:xfrm>
              <a:off x="7231380" y="791278"/>
              <a:ext cx="576000" cy="586527"/>
            </a:xfrm>
            <a:prstGeom prst="roundRect">
              <a:avLst/>
            </a:prstGeom>
            <a:noFill/>
            <a:ln w="28575">
              <a:solidFill>
                <a:srgbClr val="47599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7" name="Picture 16">
              <a:extLst>
                <a:ext uri="{FF2B5EF4-FFF2-40B4-BE49-F238E27FC236}">
                  <a16:creationId xmlns:a16="http://schemas.microsoft.com/office/drawing/2014/main" id="{007694B2-8D32-64AE-9D92-3A76F1B869E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7274223" y="836357"/>
              <a:ext cx="499023" cy="496367"/>
            </a:xfrm>
            <a:prstGeom prst="rect">
              <a:avLst/>
            </a:prstGeom>
          </xdr:spPr>
        </xdr:pic>
      </xdr:grpSp>
      <xdr:pic>
        <xdr:nvPicPr>
          <xdr:cNvPr id="15" name="Graphic 14">
            <a:extLst>
              <a:ext uri="{FF2B5EF4-FFF2-40B4-BE49-F238E27FC236}">
                <a16:creationId xmlns:a16="http://schemas.microsoft.com/office/drawing/2014/main" id="{7864D3C4-1FAC-1D80-E384-E6142381EDA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6200000">
            <a:off x="8541524" y="1877810"/>
            <a:ext cx="130463" cy="4680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r sobhy" refreshedDate="46281.438280787035" createdVersion="8" refreshedVersion="8" minRefreshableVersion="3" recordCount="208" xr:uid="{9E687B37-9467-4657-9820-3890FD7495A8}">
  <cacheSource type="worksheet">
    <worksheetSource name="Facebook7"/>
  </cacheSource>
  <cacheFields count="8">
    <cacheField name="Week" numFmtId="0">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cacheField>
    <cacheField name="Impressions" numFmtId="3">
      <sharedItems containsSemiMixedTypes="0" containsString="0" containsNumber="1" containsInteger="1" minValue="7369" maxValue="18777"/>
    </cacheField>
    <cacheField name="Engagement Rate" numFmtId="10">
      <sharedItems containsSemiMixedTypes="0" containsString="0" containsNumber="1" minValue="7.4000000000000003E-3" maxValue="4.4299999999999999E-2"/>
    </cacheField>
    <cacheField name="New Fans" numFmtId="3">
      <sharedItems containsSemiMixedTypes="0" containsString="0" containsNumber="1" containsInteger="1" minValue="7" maxValue="40"/>
    </cacheField>
    <cacheField name="Response Rate" numFmtId="9">
      <sharedItems containsSemiMixedTypes="0" containsString="0" containsNumber="1" minValue="0.78" maxValue="0.96"/>
    </cacheField>
    <cacheField name="Post Reach" numFmtId="3">
      <sharedItems containsSemiMixedTypes="0" containsString="0" containsNumber="1" containsInteger="1" minValue="5613" maxValue="11155"/>
    </cacheField>
    <cacheField name="Likes" numFmtId="3">
      <sharedItems containsSemiMixedTypes="0" containsString="0" containsNumber="1" containsInteger="1" minValue="342" maxValue="2300"/>
    </cacheField>
    <cacheField name="platform" numFmtId="3">
      <sharedItems count="4">
        <s v="Faceboock"/>
        <s v="linkedin"/>
        <s v="Instgram"/>
        <s v="x"/>
      </sharedItems>
    </cacheField>
  </cacheFields>
  <extLst>
    <ext xmlns:x14="http://schemas.microsoft.com/office/spreadsheetml/2009/9/main" uri="{725AE2AE-9491-48be-B2B4-4EB974FC3084}">
      <x14:pivotCacheDefinition pivotCacheId="276923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n v="10645"/>
    <n v="3.7499999999999999E-2"/>
    <n v="18"/>
    <n v="0.82"/>
    <n v="8942"/>
    <n v="596"/>
    <x v="0"/>
  </r>
  <r>
    <x v="1"/>
    <n v="10667"/>
    <n v="2.2499999999999999E-2"/>
    <n v="20"/>
    <n v="0.79"/>
    <n v="8854"/>
    <n v="422"/>
    <x v="0"/>
  </r>
  <r>
    <x v="2"/>
    <n v="8972"/>
    <n v="0.01"/>
    <n v="12"/>
    <n v="0.8"/>
    <n v="7178"/>
    <n v="342"/>
    <x v="0"/>
  </r>
  <r>
    <x v="3"/>
    <n v="9958"/>
    <n v="0.03"/>
    <n v="12"/>
    <n v="0.83"/>
    <n v="7966"/>
    <n v="469"/>
    <x v="0"/>
  </r>
  <r>
    <x v="4"/>
    <n v="9636"/>
    <n v="2.2857142857142857E-2"/>
    <n v="10"/>
    <n v="0.88"/>
    <n v="7805"/>
    <n v="520"/>
    <x v="0"/>
  </r>
  <r>
    <x v="5"/>
    <n v="10054"/>
    <n v="2.2499999999999999E-2"/>
    <n v="23"/>
    <n v="0.78"/>
    <n v="8043"/>
    <n v="447"/>
    <x v="0"/>
  </r>
  <r>
    <x v="6"/>
    <n v="9386"/>
    <n v="2.2499999999999999E-2"/>
    <n v="11"/>
    <n v="0.78"/>
    <n v="7697"/>
    <n v="385"/>
    <x v="0"/>
  </r>
  <r>
    <x v="7"/>
    <n v="10231"/>
    <n v="1.714285714285714E-2"/>
    <n v="11"/>
    <n v="0.79"/>
    <n v="8696"/>
    <n v="458"/>
    <x v="0"/>
  </r>
  <r>
    <x v="8"/>
    <n v="9921"/>
    <n v="2.571428571428571E-2"/>
    <n v="18"/>
    <n v="0.78"/>
    <n v="8433"/>
    <n v="562"/>
    <x v="0"/>
  </r>
  <r>
    <x v="9"/>
    <n v="9000"/>
    <n v="2.2857142857142857E-2"/>
    <n v="15"/>
    <n v="0.79"/>
    <n v="7380"/>
    <n v="388"/>
    <x v="0"/>
  </r>
  <r>
    <x v="10"/>
    <n v="9413"/>
    <n v="7.4999999999999997E-3"/>
    <n v="24"/>
    <n v="0.82"/>
    <n v="7625"/>
    <n v="449"/>
    <x v="0"/>
  </r>
  <r>
    <x v="11"/>
    <n v="10737"/>
    <n v="2.1428571428571429E-2"/>
    <n v="20"/>
    <n v="0.8"/>
    <n v="8697"/>
    <n v="580"/>
    <x v="0"/>
  </r>
  <r>
    <x v="12"/>
    <n v="10889"/>
    <n v="2.571428571428571E-2"/>
    <n v="16"/>
    <n v="0.85"/>
    <n v="9038"/>
    <n v="452"/>
    <x v="0"/>
  </r>
  <r>
    <x v="13"/>
    <n v="10845"/>
    <n v="3.428571428571428E-2"/>
    <n v="23"/>
    <n v="0.86"/>
    <n v="8893"/>
    <n v="445"/>
    <x v="0"/>
  </r>
  <r>
    <x v="14"/>
    <n v="8995"/>
    <n v="1.714285714285714E-2"/>
    <n v="10"/>
    <n v="0.87"/>
    <n v="7196"/>
    <n v="379"/>
    <x v="0"/>
  </r>
  <r>
    <x v="15"/>
    <n v="8781"/>
    <n v="2.571428571428571E-2"/>
    <n v="24"/>
    <n v="0.78"/>
    <n v="7113"/>
    <n v="374"/>
    <x v="0"/>
  </r>
  <r>
    <x v="16"/>
    <n v="10117"/>
    <n v="1.714285714285714E-2"/>
    <n v="25"/>
    <n v="0.86"/>
    <n v="8296"/>
    <n v="461"/>
    <x v="0"/>
  </r>
  <r>
    <x v="17"/>
    <n v="9514"/>
    <n v="1.2857142857142855E-2"/>
    <n v="12"/>
    <n v="0.85"/>
    <n v="7706"/>
    <n v="428"/>
    <x v="0"/>
  </r>
  <r>
    <x v="18"/>
    <n v="9714"/>
    <n v="3.5714285714285719E-2"/>
    <n v="17"/>
    <n v="0.87"/>
    <n v="8160"/>
    <n v="480"/>
    <x v="0"/>
  </r>
  <r>
    <x v="19"/>
    <n v="9973"/>
    <n v="0.03"/>
    <n v="23"/>
    <n v="0.78"/>
    <n v="8477"/>
    <n v="471"/>
    <x v="0"/>
  </r>
  <r>
    <x v="20"/>
    <n v="8518"/>
    <n v="1.4999999999999999E-2"/>
    <n v="8"/>
    <n v="0.88"/>
    <n v="7240"/>
    <n v="381"/>
    <x v="0"/>
  </r>
  <r>
    <x v="21"/>
    <n v="10499"/>
    <n v="4.2857142857142858E-2"/>
    <n v="14"/>
    <n v="0.81"/>
    <n v="8399"/>
    <n v="494"/>
    <x v="0"/>
  </r>
  <r>
    <x v="22"/>
    <n v="9221"/>
    <n v="1.4999999999999999E-2"/>
    <n v="24"/>
    <n v="0.79"/>
    <n v="7561"/>
    <n v="398"/>
    <x v="0"/>
  </r>
  <r>
    <x v="23"/>
    <n v="10547"/>
    <n v="3.428571428571428E-2"/>
    <n v="19"/>
    <n v="0.83"/>
    <n v="8543"/>
    <n v="450"/>
    <x v="0"/>
  </r>
  <r>
    <x v="24"/>
    <n v="10706"/>
    <n v="1.2500000000000001E-2"/>
    <n v="12"/>
    <n v="0.87"/>
    <n v="8672"/>
    <n v="456"/>
    <x v="0"/>
  </r>
  <r>
    <x v="25"/>
    <n v="9980"/>
    <n v="3.7499999999999999E-2"/>
    <n v="12"/>
    <n v="0.8"/>
    <n v="7984"/>
    <n v="399"/>
    <x v="0"/>
  </r>
  <r>
    <x v="26"/>
    <n v="9598"/>
    <n v="0.01"/>
    <n v="11"/>
    <n v="0.9"/>
    <n v="7678"/>
    <n v="480"/>
    <x v="0"/>
  </r>
  <r>
    <x v="27"/>
    <n v="9572"/>
    <n v="2.5000000000000001E-2"/>
    <n v="15"/>
    <n v="0.93"/>
    <n v="8136"/>
    <n v="479"/>
    <x v="0"/>
  </r>
  <r>
    <x v="28"/>
    <n v="8833"/>
    <n v="2.1428571428571429E-2"/>
    <n v="11"/>
    <n v="0.89"/>
    <n v="7420"/>
    <n v="495"/>
    <x v="0"/>
  </r>
  <r>
    <x v="29"/>
    <n v="9184"/>
    <n v="1.4999999999999999E-2"/>
    <n v="8"/>
    <n v="0.79"/>
    <n v="7806"/>
    <n v="390"/>
    <x v="0"/>
  </r>
  <r>
    <x v="30"/>
    <n v="8917"/>
    <n v="7.4999999999999997E-3"/>
    <n v="23"/>
    <n v="0.8"/>
    <n v="7401"/>
    <n v="463"/>
    <x v="0"/>
  </r>
  <r>
    <x v="31"/>
    <n v="9426"/>
    <n v="1.2500000000000001E-2"/>
    <n v="18"/>
    <n v="0.93"/>
    <n v="7729"/>
    <n v="483"/>
    <x v="0"/>
  </r>
  <r>
    <x v="32"/>
    <n v="10799"/>
    <n v="4.2857142857142858E-2"/>
    <n v="21"/>
    <n v="0.87"/>
    <n v="9179"/>
    <n v="612"/>
    <x v="0"/>
  </r>
  <r>
    <x v="33"/>
    <n v="9644"/>
    <n v="8.5714285714285701E-3"/>
    <n v="11"/>
    <n v="0.79"/>
    <n v="7908"/>
    <n v="377"/>
    <x v="0"/>
  </r>
  <r>
    <x v="34"/>
    <n v="8655"/>
    <n v="1.4285714285714284E-2"/>
    <n v="22"/>
    <n v="0.87"/>
    <n v="7097"/>
    <n v="473"/>
    <x v="0"/>
  </r>
  <r>
    <x v="35"/>
    <n v="9065"/>
    <n v="2.5000000000000001E-2"/>
    <n v="15"/>
    <n v="0.88"/>
    <n v="7343"/>
    <n v="367"/>
    <x v="0"/>
  </r>
  <r>
    <x v="36"/>
    <n v="10328"/>
    <n v="2.571428571428571E-2"/>
    <n v="8"/>
    <n v="0.86"/>
    <n v="8572"/>
    <n v="536"/>
    <x v="0"/>
  </r>
  <r>
    <x v="37"/>
    <n v="9918"/>
    <n v="1.714285714285714E-2"/>
    <n v="13"/>
    <n v="0.86"/>
    <n v="7934"/>
    <n v="418"/>
    <x v="0"/>
  </r>
  <r>
    <x v="38"/>
    <n v="9705"/>
    <n v="0.03"/>
    <n v="25"/>
    <n v="0.87"/>
    <n v="7861"/>
    <n v="491"/>
    <x v="0"/>
  </r>
  <r>
    <x v="39"/>
    <n v="8669"/>
    <n v="2.2857142857142857E-2"/>
    <n v="17"/>
    <n v="0.9"/>
    <n v="7022"/>
    <n v="468"/>
    <x v="0"/>
  </r>
  <r>
    <x v="40"/>
    <n v="11300"/>
    <n v="1.2857142857142855E-2"/>
    <n v="17"/>
    <n v="0.84"/>
    <n v="8199"/>
    <n v="547"/>
    <x v="0"/>
  </r>
  <r>
    <x v="41"/>
    <n v="10683"/>
    <n v="1.714285714285714E-2"/>
    <n v="10"/>
    <n v="0.83"/>
    <n v="8546"/>
    <n v="534"/>
    <x v="0"/>
  </r>
  <r>
    <x v="42"/>
    <n v="12150"/>
    <n v="2.2857142857142857E-2"/>
    <n v="12"/>
    <n v="0.87"/>
    <n v="7957"/>
    <n v="497"/>
    <x v="0"/>
  </r>
  <r>
    <x v="43"/>
    <n v="11542"/>
    <n v="1.4999999999999999E-2"/>
    <n v="18"/>
    <n v="0.85"/>
    <n v="7842"/>
    <n v="523"/>
    <x v="0"/>
  </r>
  <r>
    <x v="44"/>
    <n v="11550"/>
    <n v="0.03"/>
    <n v="9"/>
    <n v="0.84"/>
    <n v="7550"/>
    <n v="360"/>
    <x v="0"/>
  </r>
  <r>
    <x v="45"/>
    <n v="10140"/>
    <n v="3.7499999999999999E-2"/>
    <n v="22"/>
    <n v="0.78"/>
    <n v="8213"/>
    <n v="391"/>
    <x v="0"/>
  </r>
  <r>
    <x v="46"/>
    <n v="10780"/>
    <n v="1.4999999999999999E-2"/>
    <n v="18"/>
    <n v="0.83"/>
    <n v="7658"/>
    <n v="365"/>
    <x v="0"/>
  </r>
  <r>
    <x v="47"/>
    <n v="11210"/>
    <n v="0.03"/>
    <n v="22"/>
    <n v="0.91"/>
    <n v="8543"/>
    <n v="503"/>
    <x v="0"/>
  </r>
  <r>
    <x v="48"/>
    <n v="11450"/>
    <n v="2.1428571428571429E-2"/>
    <n v="20"/>
    <n v="0.91"/>
    <n v="7818"/>
    <n v="460"/>
    <x v="0"/>
  </r>
  <r>
    <x v="49"/>
    <n v="12520"/>
    <n v="0.03"/>
    <n v="11"/>
    <n v="0.93"/>
    <n v="7769"/>
    <n v="370"/>
    <x v="0"/>
  </r>
  <r>
    <x v="50"/>
    <n v="11240"/>
    <n v="1.2500000000000001E-2"/>
    <n v="9"/>
    <n v="0.82"/>
    <n v="7168"/>
    <n v="358"/>
    <x v="0"/>
  </r>
  <r>
    <x v="51"/>
    <n v="11250"/>
    <n v="1.4999999999999999E-2"/>
    <n v="23"/>
    <n v="0.92"/>
    <n v="7796"/>
    <n v="390"/>
    <x v="0"/>
  </r>
  <r>
    <x v="0"/>
    <n v="10200"/>
    <n v="3.49E-2"/>
    <n v="17"/>
    <n v="0.82"/>
    <n v="8584"/>
    <n v="944"/>
    <x v="1"/>
  </r>
  <r>
    <x v="1"/>
    <n v="9174"/>
    <n v="2.2499999999999999E-2"/>
    <n v="19"/>
    <n v="0.79"/>
    <n v="8234"/>
    <n v="1564"/>
    <x v="1"/>
  </r>
  <r>
    <x v="2"/>
    <n v="8165"/>
    <n v="9.9000000000000008E-3"/>
    <n v="11"/>
    <n v="0.8"/>
    <n v="6532"/>
    <n v="1110"/>
    <x v="1"/>
  </r>
  <r>
    <x v="3"/>
    <n v="9520"/>
    <n v="3.1199999999999999E-2"/>
    <n v="11"/>
    <n v="0.83"/>
    <n v="7090"/>
    <n v="1064"/>
    <x v="1"/>
  </r>
  <r>
    <x v="4"/>
    <n v="8672"/>
    <n v="2.1700000000000001E-2"/>
    <n v="10"/>
    <n v="0.88"/>
    <n v="7337"/>
    <n v="1101"/>
    <x v="1"/>
  </r>
  <r>
    <x v="5"/>
    <n v="9149"/>
    <n v="0.02"/>
    <n v="21"/>
    <n v="0.78"/>
    <n v="7078"/>
    <n v="849"/>
    <x v="1"/>
  </r>
  <r>
    <x v="6"/>
    <n v="8000"/>
    <n v="2.18E-2"/>
    <n v="12"/>
    <n v="0.78"/>
    <n v="7620"/>
    <n v="914"/>
    <x v="1"/>
  </r>
  <r>
    <x v="7"/>
    <n v="8185"/>
    <n v="1.8200000000000001E-2"/>
    <n v="10"/>
    <n v="0.79"/>
    <n v="7739"/>
    <n v="851"/>
    <x v="1"/>
  </r>
  <r>
    <x v="8"/>
    <n v="8532"/>
    <n v="2.5700000000000001E-2"/>
    <n v="17"/>
    <n v="0.78"/>
    <n v="7927"/>
    <n v="1110"/>
    <x v="1"/>
  </r>
  <r>
    <x v="9"/>
    <n v="8190"/>
    <n v="2.0799999999999999E-2"/>
    <n v="14"/>
    <n v="0.85"/>
    <n v="6790"/>
    <n v="815"/>
    <x v="1"/>
  </r>
  <r>
    <x v="10"/>
    <n v="7813"/>
    <n v="7.4000000000000003E-3"/>
    <n v="23"/>
    <n v="0.82"/>
    <n v="7320"/>
    <n v="1098"/>
    <x v="1"/>
  </r>
  <r>
    <x v="11"/>
    <n v="9341"/>
    <n v="1.9900000000000001E-2"/>
    <n v="21"/>
    <n v="0.8"/>
    <n v="8175"/>
    <n v="981"/>
    <x v="1"/>
  </r>
  <r>
    <x v="12"/>
    <n v="8711"/>
    <n v="2.52E-2"/>
    <n v="15"/>
    <n v="0.85"/>
    <n v="9219"/>
    <n v="1659"/>
    <x v="1"/>
  </r>
  <r>
    <x v="13"/>
    <n v="9544"/>
    <n v="3.0499999999999999E-2"/>
    <n v="22"/>
    <n v="0.91"/>
    <n v="7025"/>
    <n v="984"/>
    <x v="1"/>
  </r>
  <r>
    <x v="14"/>
    <n v="7466"/>
    <n v="1.6299999999999999E-2"/>
    <n v="11"/>
    <n v="0.87"/>
    <n v="5613"/>
    <n v="1010"/>
    <x v="1"/>
  </r>
  <r>
    <x v="15"/>
    <n v="7464"/>
    <n v="2.29E-2"/>
    <n v="25"/>
    <n v="0.81"/>
    <n v="6971"/>
    <n v="837"/>
    <x v="1"/>
  </r>
  <r>
    <x v="16"/>
    <n v="9308"/>
    <n v="1.5900000000000001E-2"/>
    <n v="26"/>
    <n v="0.86"/>
    <n v="6803"/>
    <n v="1225"/>
    <x v="1"/>
  </r>
  <r>
    <x v="17"/>
    <n v="8372"/>
    <n v="1.18E-2"/>
    <n v="11"/>
    <n v="0.85"/>
    <n v="6011"/>
    <n v="1022"/>
    <x v="1"/>
  </r>
  <r>
    <x v="18"/>
    <n v="8645"/>
    <n v="3.1800000000000002E-2"/>
    <n v="16"/>
    <n v="0.87"/>
    <n v="7670"/>
    <n v="920"/>
    <x v="1"/>
  </r>
  <r>
    <x v="19"/>
    <n v="9000"/>
    <n v="2.8199999999999999E-2"/>
    <n v="22"/>
    <n v="0.78"/>
    <n v="7205"/>
    <n v="1153"/>
    <x v="1"/>
  </r>
  <r>
    <x v="20"/>
    <n v="7837"/>
    <n v="1.55E-2"/>
    <n v="7"/>
    <n v="0.88"/>
    <n v="6299"/>
    <n v="756"/>
    <x v="1"/>
  </r>
  <r>
    <x v="21"/>
    <n v="8609"/>
    <n v="3.8600000000000002E-2"/>
    <n v="13"/>
    <n v="0.81"/>
    <n v="6971"/>
    <n v="837"/>
    <x v="1"/>
  </r>
  <r>
    <x v="22"/>
    <n v="8483"/>
    <n v="1.46E-2"/>
    <n v="23"/>
    <n v="0.79"/>
    <n v="6049"/>
    <n v="665"/>
    <x v="1"/>
  </r>
  <r>
    <x v="23"/>
    <n v="9387"/>
    <n v="3.1899999999999998E-2"/>
    <n v="20"/>
    <n v="0.83"/>
    <n v="7860"/>
    <n v="1415"/>
    <x v="1"/>
  </r>
  <r>
    <x v="24"/>
    <n v="9421"/>
    <n v="1.18E-2"/>
    <n v="12"/>
    <n v="0.87"/>
    <n v="7978"/>
    <n v="1276"/>
    <x v="1"/>
  </r>
  <r>
    <x v="25"/>
    <n v="8283"/>
    <n v="3.4500000000000003E-2"/>
    <n v="12"/>
    <n v="0.8"/>
    <n v="7665"/>
    <n v="1073"/>
    <x v="1"/>
  </r>
  <r>
    <x v="26"/>
    <n v="9520"/>
    <n v="9.2999999999999992E-3"/>
    <n v="11"/>
    <n v="0.9"/>
    <n v="7524"/>
    <n v="1279"/>
    <x v="1"/>
  </r>
  <r>
    <x v="27"/>
    <n v="8328"/>
    <n v="2.23E-2"/>
    <n v="13"/>
    <n v="0.93"/>
    <n v="6672"/>
    <n v="1268"/>
    <x v="1"/>
  </r>
  <r>
    <x v="28"/>
    <n v="7950"/>
    <n v="2.23E-2"/>
    <n v="12"/>
    <n v="0.89"/>
    <n v="6901"/>
    <n v="828"/>
    <x v="1"/>
  </r>
  <r>
    <x v="29"/>
    <n v="7990"/>
    <n v="1.44E-2"/>
    <n v="7"/>
    <n v="0.82"/>
    <n v="7572"/>
    <n v="1212"/>
    <x v="1"/>
  </r>
  <r>
    <x v="30"/>
    <n v="7936"/>
    <n v="7.7000000000000002E-3"/>
    <n v="22"/>
    <n v="0.8"/>
    <n v="6439"/>
    <n v="1159"/>
    <x v="1"/>
  </r>
  <r>
    <x v="31"/>
    <n v="8672"/>
    <n v="1.2E-2"/>
    <n v="16"/>
    <n v="0.93"/>
    <n v="6879"/>
    <n v="1101"/>
    <x v="1"/>
  </r>
  <r>
    <x v="32"/>
    <n v="8963"/>
    <n v="3.9899999999999998E-2"/>
    <n v="22"/>
    <n v="0.87"/>
    <n v="7251"/>
    <n v="1378"/>
    <x v="1"/>
  </r>
  <r>
    <x v="33"/>
    <n v="8420"/>
    <n v="7.7000000000000002E-3"/>
    <n v="10"/>
    <n v="0.85"/>
    <n v="6722"/>
    <n v="672"/>
    <x v="1"/>
  </r>
  <r>
    <x v="34"/>
    <n v="7616"/>
    <n v="1.4999999999999999E-2"/>
    <n v="20"/>
    <n v="0.87"/>
    <n v="5678"/>
    <n v="681"/>
    <x v="1"/>
  </r>
  <r>
    <x v="35"/>
    <n v="7887"/>
    <n v="2.5999999999999999E-2"/>
    <n v="16"/>
    <n v="0.88"/>
    <n v="7270"/>
    <n v="872"/>
    <x v="1"/>
  </r>
  <r>
    <x v="36"/>
    <n v="8882"/>
    <n v="2.2599999999999999E-2"/>
    <n v="8"/>
    <n v="0.86"/>
    <n v="8229"/>
    <n v="987"/>
    <x v="1"/>
  </r>
  <r>
    <x v="37"/>
    <n v="8728"/>
    <n v="1.7999999999999999E-2"/>
    <n v="13"/>
    <n v="0.86"/>
    <n v="7061"/>
    <n v="777"/>
    <x v="1"/>
  </r>
  <r>
    <x v="38"/>
    <n v="8735"/>
    <n v="3.0300000000000001E-2"/>
    <n v="23"/>
    <n v="0.87"/>
    <n v="7232"/>
    <n v="1374"/>
    <x v="1"/>
  </r>
  <r>
    <x v="39"/>
    <n v="7369"/>
    <n v="2.35E-2"/>
    <n v="17"/>
    <n v="0.9"/>
    <n v="6671"/>
    <n v="667"/>
    <x v="1"/>
  </r>
  <r>
    <x v="40"/>
    <n v="9605"/>
    <n v="1.2999999999999999E-2"/>
    <n v="17"/>
    <n v="0.84"/>
    <n v="7379"/>
    <n v="1328"/>
    <x v="1"/>
  </r>
  <r>
    <x v="41"/>
    <n v="9187"/>
    <n v="1.6299999999999999E-2"/>
    <n v="9"/>
    <n v="0.83"/>
    <n v="7691"/>
    <n v="1231"/>
    <x v="1"/>
  </r>
  <r>
    <x v="42"/>
    <n v="10206"/>
    <n v="2.01E-2"/>
    <n v="11"/>
    <n v="0.93"/>
    <n v="7002"/>
    <n v="770"/>
    <x v="1"/>
  </r>
  <r>
    <x v="43"/>
    <n v="10157"/>
    <n v="1.47E-2"/>
    <n v="18"/>
    <n v="0.85"/>
    <n v="6666"/>
    <n v="1267"/>
    <x v="1"/>
  </r>
  <r>
    <x v="44"/>
    <n v="10280"/>
    <n v="2.7300000000000001E-2"/>
    <n v="19"/>
    <n v="0.84"/>
    <n v="6040"/>
    <n v="664"/>
    <x v="1"/>
  </r>
  <r>
    <x v="45"/>
    <n v="11240"/>
    <n v="3.9800000000000002E-2"/>
    <n v="21"/>
    <n v="0.78"/>
    <n v="6981"/>
    <n v="698"/>
    <x v="1"/>
  </r>
  <r>
    <x v="46"/>
    <n v="10558"/>
    <n v="1.37E-2"/>
    <n v="23"/>
    <n v="0.83"/>
    <n v="6892"/>
    <n v="1172"/>
    <x v="1"/>
  </r>
  <r>
    <x v="47"/>
    <n v="10253"/>
    <n v="2.9100000000000001E-2"/>
    <n v="23"/>
    <n v="0.91"/>
    <n v="8714"/>
    <n v="1656"/>
    <x v="1"/>
  </r>
  <r>
    <x v="48"/>
    <n v="10850"/>
    <n v="2.2100000000000002E-2"/>
    <n v="18"/>
    <n v="0.94"/>
    <n v="7662"/>
    <n v="1149"/>
    <x v="1"/>
  </r>
  <r>
    <x v="49"/>
    <n v="10141"/>
    <n v="2.7E-2"/>
    <n v="17"/>
    <n v="0.93"/>
    <n v="6060"/>
    <n v="606"/>
    <x v="1"/>
  </r>
  <r>
    <x v="50"/>
    <n v="11000"/>
    <n v="1.2E-2"/>
    <n v="21"/>
    <n v="0.9"/>
    <n v="6021"/>
    <n v="1144"/>
    <x v="1"/>
  </r>
  <r>
    <x v="51"/>
    <n v="10350"/>
    <n v="1.5599999999999999E-2"/>
    <n v="22"/>
    <n v="0.92"/>
    <n v="6627"/>
    <n v="928"/>
    <x v="1"/>
  </r>
  <r>
    <x v="0"/>
    <n v="12138"/>
    <n v="3.9100000000000003E-2"/>
    <n v="23"/>
    <n v="0.82"/>
    <n v="10387"/>
    <n v="1150"/>
    <x v="2"/>
  </r>
  <r>
    <x v="1"/>
    <n v="10642"/>
    <n v="2.52E-2"/>
    <n v="30"/>
    <n v="0.91"/>
    <n v="9551"/>
    <n v="1439"/>
    <x v="2"/>
  </r>
  <r>
    <x v="2"/>
    <n v="12250"/>
    <n v="1.0999999999999999E-2"/>
    <n v="15"/>
    <n v="0.8"/>
    <n v="7838"/>
    <n v="1232"/>
    <x v="2"/>
  </r>
  <r>
    <x v="3"/>
    <n v="12090"/>
    <n v="3.4599999999999999E-2"/>
    <n v="14"/>
    <n v="0.83"/>
    <n v="8224"/>
    <n v="1032"/>
    <x v="2"/>
  </r>
  <r>
    <x v="4"/>
    <n v="10840"/>
    <n v="2.41E-2"/>
    <n v="12"/>
    <n v="0.88"/>
    <n v="8951"/>
    <n v="1387"/>
    <x v="2"/>
  </r>
  <r>
    <x v="5"/>
    <n v="11802"/>
    <n v="2.1999999999999999E-2"/>
    <n v="34"/>
    <n v="0.78"/>
    <n v="7998"/>
    <n v="1044"/>
    <x v="2"/>
  </r>
  <r>
    <x v="6"/>
    <n v="9120"/>
    <n v="2.4400000000000002E-2"/>
    <n v="18"/>
    <n v="0.82"/>
    <n v="8077"/>
    <n v="1197"/>
    <x v="2"/>
  </r>
  <r>
    <x v="7"/>
    <n v="14520"/>
    <n v="2.0199999999999999E-2"/>
    <n v="15"/>
    <n v="0.79"/>
    <n v="8126"/>
    <n v="800"/>
    <x v="2"/>
  </r>
  <r>
    <x v="8"/>
    <n v="10324"/>
    <n v="2.8299999999999999E-2"/>
    <n v="27"/>
    <n v="0.92"/>
    <n v="8878"/>
    <n v="1421"/>
    <x v="2"/>
  </r>
  <r>
    <x v="9"/>
    <n v="13580"/>
    <n v="2.3300000000000001E-2"/>
    <n v="18"/>
    <n v="0.79"/>
    <n v="7537"/>
    <n v="1000"/>
    <x v="2"/>
  </r>
  <r>
    <x v="10"/>
    <n v="9923"/>
    <n v="8.0999999999999996E-3"/>
    <n v="35"/>
    <n v="0.82"/>
    <n v="7832"/>
    <n v="1318"/>
    <x v="2"/>
  </r>
  <r>
    <x v="11"/>
    <n v="10742"/>
    <n v="2.2100000000000002E-2"/>
    <n v="33"/>
    <n v="0.8"/>
    <n v="9974"/>
    <n v="1177"/>
    <x v="2"/>
  </r>
  <r>
    <x v="12"/>
    <n v="11150"/>
    <n v="2.8199999999999999E-2"/>
    <n v="24"/>
    <n v="0.85"/>
    <n v="11155"/>
    <n v="1576"/>
    <x v="2"/>
  </r>
  <r>
    <x v="13"/>
    <n v="11453"/>
    <n v="3.39E-2"/>
    <n v="26"/>
    <n v="0.88"/>
    <n v="7306"/>
    <n v="1191"/>
    <x v="2"/>
  </r>
  <r>
    <x v="14"/>
    <n v="8437"/>
    <n v="1.7899999999999999E-2"/>
    <n v="17"/>
    <n v="0.87"/>
    <n v="6455"/>
    <n v="1212"/>
    <x v="2"/>
  </r>
  <r>
    <x v="15"/>
    <n v="10226"/>
    <n v="2.52E-2"/>
    <n v="37"/>
    <n v="0.78"/>
    <n v="7529"/>
    <n v="1096"/>
    <x v="2"/>
  </r>
  <r>
    <x v="16"/>
    <n v="10704"/>
    <n v="1.7600000000000001E-2"/>
    <n v="36"/>
    <n v="0.86"/>
    <n v="8028"/>
    <n v="1335"/>
    <x v="2"/>
  </r>
  <r>
    <x v="17"/>
    <n v="10381"/>
    <n v="1.2999999999999999E-2"/>
    <n v="15"/>
    <n v="0.85"/>
    <n v="6312"/>
    <n v="1022"/>
    <x v="2"/>
  </r>
  <r>
    <x v="18"/>
    <n v="11930"/>
    <n v="3.5299999999999998E-2"/>
    <n v="22"/>
    <n v="0.87"/>
    <n v="8514"/>
    <n v="1205"/>
    <x v="2"/>
  </r>
  <r>
    <x v="19"/>
    <n v="12510"/>
    <n v="3.1300000000000001E-2"/>
    <n v="29"/>
    <n v="0.78"/>
    <n v="7637"/>
    <n v="1211"/>
    <x v="2"/>
  </r>
  <r>
    <x v="20"/>
    <n v="10815"/>
    <n v="1.7399999999999999E-2"/>
    <n v="10"/>
    <n v="0.86"/>
    <n v="7244"/>
    <n v="1052"/>
    <x v="2"/>
  </r>
  <r>
    <x v="21"/>
    <n v="11020"/>
    <n v="4.2799999999999998E-2"/>
    <n v="18"/>
    <n v="0.81"/>
    <n v="7598"/>
    <n v="1063"/>
    <x v="2"/>
  </r>
  <r>
    <x v="22"/>
    <n v="10264"/>
    <n v="1.6199999999999999E-2"/>
    <n v="32"/>
    <n v="0.79"/>
    <n v="6896"/>
    <n v="685"/>
    <x v="2"/>
  </r>
  <r>
    <x v="23"/>
    <n v="14445"/>
    <n v="3.5099999999999999E-2"/>
    <n v="24"/>
    <n v="0.83"/>
    <n v="8174"/>
    <n v="1599"/>
    <x v="2"/>
  </r>
  <r>
    <x v="24"/>
    <n v="11965"/>
    <n v="1.2999999999999999E-2"/>
    <n v="19"/>
    <n v="0.87"/>
    <n v="8536"/>
    <n v="1646"/>
    <x v="2"/>
  </r>
  <r>
    <x v="25"/>
    <n v="10519"/>
    <n v="3.8600000000000002E-2"/>
    <n v="18"/>
    <n v="0.8"/>
    <n v="8738"/>
    <n v="1255"/>
    <x v="2"/>
  </r>
  <r>
    <x v="26"/>
    <n v="10853"/>
    <n v="1.03E-2"/>
    <n v="16"/>
    <n v="0.9"/>
    <n v="9179"/>
    <n v="1522"/>
    <x v="2"/>
  </r>
  <r>
    <x v="27"/>
    <n v="9244"/>
    <n v="2.5000000000000001E-2"/>
    <n v="17"/>
    <n v="0.93"/>
    <n v="7539"/>
    <n v="1572"/>
    <x v="2"/>
  </r>
  <r>
    <x v="28"/>
    <n v="12520"/>
    <n v="2.4500000000000001E-2"/>
    <n v="16"/>
    <n v="0.89"/>
    <n v="8419"/>
    <n v="770"/>
    <x v="2"/>
  </r>
  <r>
    <x v="29"/>
    <n v="10467"/>
    <n v="1.6E-2"/>
    <n v="9"/>
    <n v="0.79"/>
    <n v="8708"/>
    <n v="1442"/>
    <x v="2"/>
  </r>
  <r>
    <x v="30"/>
    <n v="10222"/>
    <n v="8.5000000000000006E-3"/>
    <n v="34"/>
    <n v="0.84"/>
    <n v="7340"/>
    <n v="1182"/>
    <x v="2"/>
  </r>
  <r>
    <x v="31"/>
    <n v="11013"/>
    <n v="1.34E-2"/>
    <n v="23"/>
    <n v="0.92"/>
    <n v="7154"/>
    <n v="1057"/>
    <x v="2"/>
  </r>
  <r>
    <x v="32"/>
    <n v="10576"/>
    <n v="4.4299999999999999E-2"/>
    <n v="29"/>
    <n v="0.87"/>
    <n v="8484"/>
    <n v="1350"/>
    <x v="2"/>
  </r>
  <r>
    <x v="33"/>
    <n v="10525"/>
    <n v="8.5000000000000006E-3"/>
    <n v="13"/>
    <n v="0.79"/>
    <n v="7260"/>
    <n v="759"/>
    <x v="2"/>
  </r>
  <r>
    <x v="34"/>
    <n v="11200"/>
    <n v="1.6500000000000001E-2"/>
    <n v="26"/>
    <n v="0.87"/>
    <n v="6075"/>
    <n v="1052"/>
    <x v="2"/>
  </r>
  <r>
    <x v="35"/>
    <n v="11042"/>
    <n v="2.86E-2"/>
    <n v="22"/>
    <n v="0.88"/>
    <n v="8651"/>
    <n v="811"/>
    <x v="2"/>
  </r>
  <r>
    <x v="36"/>
    <n v="9770"/>
    <n v="2.53E-2"/>
    <n v="10"/>
    <n v="0.86"/>
    <n v="9793"/>
    <n v="1135"/>
    <x v="2"/>
  </r>
  <r>
    <x v="37"/>
    <n v="11608"/>
    <n v="1.9800000000000002E-2"/>
    <n v="16"/>
    <n v="0.86"/>
    <n v="7626"/>
    <n v="870"/>
    <x v="2"/>
  </r>
  <r>
    <x v="38"/>
    <n v="9958"/>
    <n v="3.39E-2"/>
    <n v="29"/>
    <n v="0.88"/>
    <n v="8823"/>
    <n v="1704"/>
    <x v="2"/>
  </r>
  <r>
    <x v="39"/>
    <n v="8253"/>
    <n v="2.63E-2"/>
    <n v="27"/>
    <n v="0.9"/>
    <n v="6938"/>
    <n v="647"/>
    <x v="2"/>
  </r>
  <r>
    <x v="40"/>
    <n v="13255"/>
    <n v="1.46E-2"/>
    <n v="20"/>
    <n v="0.84"/>
    <n v="7822"/>
    <n v="1248"/>
    <x v="2"/>
  </r>
  <r>
    <x v="41"/>
    <n v="11850"/>
    <n v="1.83E-2"/>
    <n v="12"/>
    <n v="0.83"/>
    <n v="9075"/>
    <n v="1293"/>
    <x v="2"/>
  </r>
  <r>
    <x v="42"/>
    <n v="12962"/>
    <n v="2.2100000000000002E-2"/>
    <n v="16"/>
    <n v="0.87"/>
    <n v="7772"/>
    <n v="855"/>
    <x v="2"/>
  </r>
  <r>
    <x v="43"/>
    <n v="14118"/>
    <n v="1.6299999999999999E-2"/>
    <n v="25"/>
    <n v="0.85"/>
    <n v="7266"/>
    <n v="1432"/>
    <x v="2"/>
  </r>
  <r>
    <x v="44"/>
    <n v="13056"/>
    <n v="0.03"/>
    <n v="25"/>
    <n v="0.84"/>
    <n v="8580"/>
    <n v="1200"/>
    <x v="2"/>
  </r>
  <r>
    <x v="45"/>
    <n v="15399"/>
    <n v="4.4200000000000003E-2"/>
    <n v="33"/>
    <n v="0.78"/>
    <n v="8307"/>
    <n v="1085"/>
    <x v="2"/>
  </r>
  <r>
    <x v="46"/>
    <n v="14359"/>
    <n v="1.5299999999999999E-2"/>
    <n v="36"/>
    <n v="0.78"/>
    <n v="9560"/>
    <n v="1488"/>
    <x v="2"/>
  </r>
  <r>
    <x v="47"/>
    <n v="13800"/>
    <n v="3.2000000000000001E-2"/>
    <n v="34"/>
    <n v="0.91"/>
    <n v="10631"/>
    <n v="1623"/>
    <x v="2"/>
  </r>
  <r>
    <x v="48"/>
    <n v="15299"/>
    <n v="2.4799999999999999E-2"/>
    <n v="23"/>
    <n v="0.91"/>
    <n v="9520"/>
    <n v="1287"/>
    <x v="2"/>
  </r>
  <r>
    <x v="49"/>
    <n v="16520"/>
    <n v="3.0200000000000001E-2"/>
    <n v="26"/>
    <n v="0.93"/>
    <n v="9000"/>
    <n v="1100"/>
    <x v="2"/>
  </r>
  <r>
    <x v="50"/>
    <n v="15290"/>
    <n v="1.3299999999999999E-2"/>
    <n v="28"/>
    <n v="0.96"/>
    <n v="9250"/>
    <n v="1361"/>
    <x v="2"/>
  </r>
  <r>
    <x v="51"/>
    <n v="15200"/>
    <n v="1.7500000000000002E-2"/>
    <n v="27"/>
    <n v="0.92"/>
    <n v="8800"/>
    <n v="1420"/>
    <x v="2"/>
  </r>
  <r>
    <x v="0"/>
    <n v="14808"/>
    <n v="0.04"/>
    <n v="27"/>
    <n v="0.82"/>
    <n v="9660"/>
    <n v="1449"/>
    <x v="3"/>
  </r>
  <r>
    <x v="1"/>
    <n v="12451"/>
    <n v="2.52E-2"/>
    <n v="33"/>
    <n v="0.79"/>
    <n v="9933"/>
    <n v="1482"/>
    <x v="3"/>
  </r>
  <r>
    <x v="2"/>
    <n v="14945"/>
    <n v="2.8000000000000001E-2"/>
    <n v="18"/>
    <n v="0.8"/>
    <n v="8073"/>
    <n v="1725"/>
    <x v="3"/>
  </r>
  <r>
    <x v="3"/>
    <n v="12695"/>
    <n v="3.4599999999999999E-2"/>
    <n v="14"/>
    <n v="0.83"/>
    <n v="8471"/>
    <n v="1362"/>
    <x v="3"/>
  </r>
  <r>
    <x v="4"/>
    <n v="12032"/>
    <n v="2.41E-2"/>
    <n v="14"/>
    <n v="0.88"/>
    <n v="8593"/>
    <n v="1748"/>
    <x v="3"/>
  </r>
  <r>
    <x v="5"/>
    <n v="14871"/>
    <n v="2.1999999999999999E-2"/>
    <n v="35"/>
    <n v="0.78"/>
    <n v="8078"/>
    <n v="1378"/>
    <x v="3"/>
  </r>
  <r>
    <x v="6"/>
    <n v="11400"/>
    <n v="2.4400000000000002E-2"/>
    <n v="21"/>
    <n v="0.82"/>
    <n v="7350"/>
    <n v="1424"/>
    <x v="3"/>
  </r>
  <r>
    <x v="7"/>
    <n v="17714"/>
    <n v="2.0199999999999999E-2"/>
    <n v="16"/>
    <n v="0.79"/>
    <n v="8695"/>
    <n v="832"/>
    <x v="3"/>
  </r>
  <r>
    <x v="8"/>
    <n v="12389"/>
    <n v="2.8299999999999999E-2"/>
    <n v="28"/>
    <n v="0.78"/>
    <n v="8345"/>
    <n v="1705"/>
    <x v="3"/>
  </r>
  <r>
    <x v="9"/>
    <n v="17247"/>
    <n v="2.3300000000000001E-2"/>
    <n v="19"/>
    <n v="0.79"/>
    <n v="7688"/>
    <n v="1030"/>
    <x v="3"/>
  </r>
  <r>
    <x v="10"/>
    <n v="10419"/>
    <n v="2.1000000000000001E-2"/>
    <n v="35"/>
    <n v="0.82"/>
    <n v="8459"/>
    <n v="1582"/>
    <x v="3"/>
  </r>
  <r>
    <x v="11"/>
    <n v="12246"/>
    <n v="2.2100000000000002E-2"/>
    <n v="36"/>
    <n v="0.8"/>
    <n v="9974"/>
    <n v="1542"/>
    <x v="3"/>
  </r>
  <r>
    <x v="12"/>
    <n v="13380"/>
    <n v="2.8199999999999999E-2"/>
    <n v="25"/>
    <n v="0.85"/>
    <n v="10597"/>
    <n v="1608"/>
    <x v="3"/>
  </r>
  <r>
    <x v="13"/>
    <n v="14774"/>
    <n v="3.39E-2"/>
    <n v="31"/>
    <n v="0.88"/>
    <n v="6722"/>
    <n v="1167"/>
    <x v="3"/>
  </r>
  <r>
    <x v="14"/>
    <n v="10520"/>
    <n v="3.5999999999999997E-2"/>
    <n v="18"/>
    <n v="0.87"/>
    <n v="6455"/>
    <n v="1418"/>
    <x v="3"/>
  </r>
  <r>
    <x v="15"/>
    <n v="13498"/>
    <n v="2.52E-2"/>
    <n v="37"/>
    <n v="0.78"/>
    <n v="6776"/>
    <n v="1260"/>
    <x v="3"/>
  </r>
  <r>
    <x v="16"/>
    <n v="13808"/>
    <n v="1.7600000000000001E-2"/>
    <n v="39"/>
    <n v="0.86"/>
    <n v="7305"/>
    <n v="1522"/>
    <x v="3"/>
  </r>
  <r>
    <x v="17"/>
    <n v="11419"/>
    <n v="0.03"/>
    <n v="15"/>
    <n v="0.85"/>
    <n v="6249"/>
    <n v="1134"/>
    <x v="3"/>
  </r>
  <r>
    <x v="18"/>
    <n v="13720"/>
    <n v="3.5299999999999998E-2"/>
    <n v="22"/>
    <n v="0.87"/>
    <n v="8344"/>
    <n v="1687"/>
    <x v="3"/>
  </r>
  <r>
    <x v="19"/>
    <n v="15638"/>
    <n v="3.1300000000000001E-2"/>
    <n v="35"/>
    <n v="0.78"/>
    <n v="7408"/>
    <n v="1272"/>
    <x v="3"/>
  </r>
  <r>
    <x v="20"/>
    <n v="11572"/>
    <n v="1.7399999999999999E-2"/>
    <n v="12"/>
    <n v="0.86"/>
    <n v="6592"/>
    <n v="1252"/>
    <x v="3"/>
  </r>
  <r>
    <x v="21"/>
    <n v="13224"/>
    <n v="4.2799999999999998E-2"/>
    <n v="19"/>
    <n v="0.81"/>
    <n v="7294"/>
    <n v="1212"/>
    <x v="3"/>
  </r>
  <r>
    <x v="22"/>
    <n v="11598"/>
    <n v="2.5000000000000001E-2"/>
    <n v="39"/>
    <n v="0.79"/>
    <n v="7172"/>
    <n v="884"/>
    <x v="3"/>
  </r>
  <r>
    <x v="23"/>
    <n v="16178"/>
    <n v="3.5099999999999999E-2"/>
    <n v="29"/>
    <n v="0.83"/>
    <n v="7847"/>
    <n v="1855"/>
    <x v="3"/>
  </r>
  <r>
    <x v="24"/>
    <n v="15794"/>
    <n v="1.2999999999999999E-2"/>
    <n v="20"/>
    <n v="0.87"/>
    <n v="7682"/>
    <n v="2222"/>
    <x v="3"/>
  </r>
  <r>
    <x v="25"/>
    <n v="11361"/>
    <n v="3.8600000000000002E-2"/>
    <n v="20"/>
    <n v="0.8"/>
    <n v="8388"/>
    <n v="1544"/>
    <x v="3"/>
  </r>
  <r>
    <x v="26"/>
    <n v="11504"/>
    <n v="0.03"/>
    <n v="19"/>
    <n v="0.9"/>
    <n v="9913"/>
    <n v="1552"/>
    <x v="3"/>
  </r>
  <r>
    <x v="27"/>
    <n v="11555"/>
    <n v="2.5000000000000001E-2"/>
    <n v="20"/>
    <n v="0.93"/>
    <n v="7237"/>
    <n v="1981"/>
    <x v="3"/>
  </r>
  <r>
    <x v="28"/>
    <n v="15274"/>
    <n v="2.4500000000000001E-2"/>
    <n v="20"/>
    <n v="0.89"/>
    <n v="7661"/>
    <n v="978"/>
    <x v="3"/>
  </r>
  <r>
    <x v="29"/>
    <n v="13502"/>
    <n v="1.6E-2"/>
    <n v="11"/>
    <n v="0.85"/>
    <n v="8360"/>
    <n v="1413"/>
    <x v="3"/>
  </r>
  <r>
    <x v="30"/>
    <n v="12062"/>
    <n v="0.04"/>
    <n v="35"/>
    <n v="0.8"/>
    <n v="6973"/>
    <n v="1430"/>
    <x v="3"/>
  </r>
  <r>
    <x v="31"/>
    <n v="14317"/>
    <n v="2.8000000000000001E-2"/>
    <n v="24"/>
    <n v="0.92"/>
    <n v="7297"/>
    <n v="1194"/>
    <x v="3"/>
  </r>
  <r>
    <x v="32"/>
    <n v="13749"/>
    <n v="4.4299999999999999E-2"/>
    <n v="29"/>
    <n v="0.87"/>
    <n v="7890"/>
    <n v="1323"/>
    <x v="3"/>
  </r>
  <r>
    <x v="33"/>
    <n v="13472"/>
    <n v="8.5000000000000006E-3"/>
    <n v="16"/>
    <n v="0.79"/>
    <n v="6824"/>
    <n v="1009"/>
    <x v="3"/>
  </r>
  <r>
    <x v="34"/>
    <n v="11872"/>
    <n v="1.6500000000000001E-2"/>
    <n v="31"/>
    <n v="0.87"/>
    <n v="5650"/>
    <n v="1326"/>
    <x v="3"/>
  </r>
  <r>
    <x v="35"/>
    <n v="13250"/>
    <n v="2.86E-2"/>
    <n v="22"/>
    <n v="0.88"/>
    <n v="8305"/>
    <n v="892"/>
    <x v="3"/>
  </r>
  <r>
    <x v="36"/>
    <n v="11138"/>
    <n v="2.53E-2"/>
    <n v="11"/>
    <n v="0.86"/>
    <n v="9597"/>
    <n v="1578"/>
    <x v="3"/>
  </r>
  <r>
    <x v="37"/>
    <n v="14858"/>
    <n v="1.9800000000000002E-2"/>
    <n v="19"/>
    <n v="0.86"/>
    <n v="6863"/>
    <n v="931"/>
    <x v="3"/>
  </r>
  <r>
    <x v="38"/>
    <n v="12448"/>
    <n v="3.39E-2"/>
    <n v="34"/>
    <n v="0.88"/>
    <n v="9176"/>
    <n v="2300"/>
    <x v="3"/>
  </r>
  <r>
    <x v="39"/>
    <n v="14500"/>
    <n v="2.63E-2"/>
    <n v="31"/>
    <n v="0.9"/>
    <n v="7077"/>
    <n v="906"/>
    <x v="3"/>
  </r>
  <r>
    <x v="40"/>
    <n v="15243"/>
    <n v="1.46E-2"/>
    <n v="22"/>
    <n v="0.84"/>
    <n v="7509"/>
    <n v="1560"/>
    <x v="3"/>
  </r>
  <r>
    <x v="41"/>
    <n v="15405"/>
    <n v="1.83E-2"/>
    <n v="13"/>
    <n v="0.83"/>
    <n v="8621"/>
    <n v="1771"/>
    <x v="3"/>
  </r>
  <r>
    <x v="42"/>
    <n v="15820"/>
    <n v="2.2100000000000002E-2"/>
    <n v="18"/>
    <n v="0.87"/>
    <n v="8316"/>
    <n v="1350"/>
    <x v="3"/>
  </r>
  <r>
    <x v="43"/>
    <n v="18777"/>
    <n v="0.02"/>
    <n v="28"/>
    <n v="0.85"/>
    <n v="8400"/>
    <n v="1690"/>
    <x v="3"/>
  </r>
  <r>
    <x v="44"/>
    <n v="16059"/>
    <n v="0.03"/>
    <n v="27"/>
    <n v="0.84"/>
    <n v="9095"/>
    <n v="1404"/>
    <x v="3"/>
  </r>
  <r>
    <x v="45"/>
    <n v="18017"/>
    <n v="4.4200000000000003E-2"/>
    <n v="40"/>
    <n v="0.85"/>
    <n v="9500"/>
    <n v="1350"/>
    <x v="3"/>
  </r>
  <r>
    <x v="46"/>
    <n v="17231"/>
    <n v="2.3E-2"/>
    <n v="37"/>
    <n v="0.9"/>
    <n v="9082"/>
    <n v="2068"/>
    <x v="3"/>
  </r>
  <r>
    <x v="47"/>
    <n v="17664"/>
    <n v="3.2000000000000001E-2"/>
    <n v="36"/>
    <n v="0.91"/>
    <n v="9568"/>
    <n v="2094"/>
    <x v="3"/>
  </r>
  <r>
    <x v="48"/>
    <n v="18359"/>
    <n v="2.4799999999999999E-2"/>
    <n v="25"/>
    <n v="0.91"/>
    <n v="10186"/>
    <n v="1493"/>
    <x v="3"/>
  </r>
  <r>
    <x v="49"/>
    <n v="17200"/>
    <n v="3.0200000000000001E-2"/>
    <n v="31"/>
    <n v="0.93"/>
    <n v="9800"/>
    <n v="1496"/>
    <x v="3"/>
  </r>
  <r>
    <x v="50"/>
    <n v="18500"/>
    <n v="0.02"/>
    <n v="27"/>
    <n v="0.96"/>
    <n v="9713"/>
    <n v="1552"/>
    <x v="3"/>
  </r>
  <r>
    <x v="51"/>
    <n v="16112"/>
    <n v="0.03"/>
    <n v="27"/>
    <n v="0.92"/>
    <n v="9328"/>
    <n v="187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B4784-B489-4566-A366-D0200687CF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weeks">
  <location ref="S8:U61" firstHeaderRow="0" firstDataRow="1" firstDataCol="1"/>
  <pivotFields count="8">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numFmtId="3" showAll="0"/>
    <pivotField numFmtId="10" showAll="0"/>
    <pivotField numFmtId="3" showAll="0"/>
    <pivotField numFmtId="9" showAll="0"/>
    <pivotField dataField="1" numFmtId="3" showAll="0"/>
    <pivotField numFmtId="3" showAll="0"/>
    <pivotField showAll="0">
      <items count="5">
        <item x="0"/>
        <item x="2"/>
        <item x="1"/>
        <item x="3"/>
        <item t="default"/>
      </items>
    </pivotField>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2"/>
  </colFields>
  <colItems count="2">
    <i>
      <x/>
    </i>
    <i i="1">
      <x v="1"/>
    </i>
  </colItems>
  <dataFields count="2">
    <dataField name="Sum of Impressions" fld="1" baseField="0" baseItem="0" numFmtId="3"/>
    <dataField name="Sum of Post Reach" fld="5" baseField="0" baseItem="0" numFmtId="3"/>
  </dataFields>
  <chartFormats count="6">
    <chartFormat chart="24" format="20" series="1">
      <pivotArea type="data" outline="0" fieldPosition="0">
        <references count="1">
          <reference field="4294967294" count="1" selected="0">
            <x v="0"/>
          </reference>
        </references>
      </pivotArea>
    </chartFormat>
    <chartFormat chart="24" format="21" series="1">
      <pivotArea type="data" outline="0" fieldPosition="0">
        <references count="1">
          <reference field="4294967294" count="1" selected="0">
            <x v="1"/>
          </reference>
        </references>
      </pivotArea>
    </chartFormat>
    <chartFormat chart="29" format="12"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 chart="33" format="16" series="1">
      <pivotArea type="data" outline="0" fieldPosition="0">
        <references count="1">
          <reference field="4294967294" count="1" selected="0">
            <x v="0"/>
          </reference>
        </references>
      </pivotArea>
    </chartFormat>
    <chartFormat chart="33"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599303-A33F-4ED6-94F6-2A54CAE335E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latform">
  <location ref="A2:F3" firstHeaderRow="0" firstDataRow="1" firstDataCol="0"/>
  <pivotFields count="8">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numFmtId="3" showAll="0"/>
    <pivotField dataField="1" numFmtId="10" showAll="0"/>
    <pivotField dataField="1" numFmtId="3" showAll="0"/>
    <pivotField dataField="1" numFmtId="9" showAll="0"/>
    <pivotField dataField="1" numFmtId="3" showAll="0"/>
    <pivotField dataField="1" numFmtId="3" showAll="0"/>
    <pivotField showAll="0">
      <items count="5">
        <item x="0"/>
        <item x="2"/>
        <item x="1"/>
        <item x="3"/>
        <item t="default"/>
      </items>
    </pivotField>
  </pivotFields>
  <rowItems count="1">
    <i/>
  </rowItems>
  <colFields count="1">
    <field x="-2"/>
  </colFields>
  <colItems count="6">
    <i>
      <x/>
    </i>
    <i i="1">
      <x v="1"/>
    </i>
    <i i="2">
      <x v="2"/>
    </i>
    <i i="3">
      <x v="3"/>
    </i>
    <i i="4">
      <x v="4"/>
    </i>
    <i i="5">
      <x v="5"/>
    </i>
  </colItems>
  <dataFields count="6">
    <dataField name="Total Likes" fld="6" baseField="0" baseItem="1" numFmtId="3"/>
    <dataField name="total Post Reach" fld="5" baseField="0" baseItem="1" numFmtId="3"/>
    <dataField name="Total Impressions" fld="1" baseField="0" baseItem="2" numFmtId="3"/>
    <dataField name="Total New Fans" fld="3" baseField="0" baseItem="3" numFmtId="164"/>
    <dataField name="Average of Response Rate" fld="4" subtotal="average" baseField="0" baseItem="4" numFmtId="9"/>
    <dataField name="Average of Engagement Rate" fld="2" subtotal="average" baseField="0" baseItem="5" numFmtId="10"/>
  </dataFields>
  <formats count="2">
    <format dxfId="338">
      <pivotArea outline="0" collapsedLevelsAreSubtotals="1" fieldPosition="0">
        <references count="1">
          <reference field="4294967294" count="1" selected="0">
            <x v="3"/>
          </reference>
        </references>
      </pivotArea>
    </format>
    <format dxfId="337">
      <pivotArea outline="0" collapsedLevelsAreSubtotals="1" fieldPosition="0">
        <references count="1">
          <reference field="4294967294" count="1" selected="0">
            <x v="2"/>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ABF48A-2303-4716-98F3-BF85D6CCB6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weeks">
  <location ref="L8:Q62" firstHeaderRow="1" firstDataRow="2" firstDataCol="1"/>
  <pivotFields count="8">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3" showAll="0"/>
    <pivotField numFmtId="10" showAll="0"/>
    <pivotField dataField="1" numFmtId="3" showAll="0"/>
    <pivotField numFmtId="9" showAll="0"/>
    <pivotField numFmtId="3" showAll="0"/>
    <pivotField numFmtId="3" showAll="0"/>
    <pivotField axis="axisCol" showAll="0">
      <items count="5">
        <item x="0"/>
        <item x="2"/>
        <item x="1"/>
        <item x="3"/>
        <item t="default"/>
      </items>
    </pivotField>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7"/>
  </colFields>
  <colItems count="5">
    <i>
      <x/>
    </i>
    <i>
      <x v="1"/>
    </i>
    <i>
      <x v="2"/>
    </i>
    <i>
      <x v="3"/>
    </i>
    <i t="grand">
      <x/>
    </i>
  </colItems>
  <dataFields count="1">
    <dataField name="Sum of New Fans" fld="3" baseField="0" baseItem="0" numFmtId="3"/>
  </dataFields>
  <chartFormats count="5">
    <chartFormat chart="38" format="23" series="1">
      <pivotArea type="data" outline="0" fieldPosition="0">
        <references count="2">
          <reference field="4294967294" count="1" selected="0">
            <x v="0"/>
          </reference>
          <reference field="7" count="1" selected="0">
            <x v="0"/>
          </reference>
        </references>
      </pivotArea>
    </chartFormat>
    <chartFormat chart="38" format="24" series="1">
      <pivotArea type="data" outline="0" fieldPosition="0">
        <references count="2">
          <reference field="4294967294" count="1" selected="0">
            <x v="0"/>
          </reference>
          <reference field="7" count="1" selected="0">
            <x v="1"/>
          </reference>
        </references>
      </pivotArea>
    </chartFormat>
    <chartFormat chart="38" format="25" series="1">
      <pivotArea type="data" outline="0" fieldPosition="0">
        <references count="2">
          <reference field="4294967294" count="1" selected="0">
            <x v="0"/>
          </reference>
          <reference field="7" count="1" selected="0">
            <x v="2"/>
          </reference>
        </references>
      </pivotArea>
    </chartFormat>
    <chartFormat chart="38" format="26" series="1">
      <pivotArea type="data" outline="0" fieldPosition="0">
        <references count="2">
          <reference field="4294967294" count="1" selected="0">
            <x v="0"/>
          </reference>
          <reference field="7" count="1" selected="0">
            <x v="3"/>
          </reference>
        </references>
      </pivotArea>
    </chartFormat>
    <chartFormat chart="38" format="27">
      <pivotArea type="data" outline="0" fieldPosition="0">
        <references count="3">
          <reference field="4294967294" count="1" selected="0">
            <x v="0"/>
          </reference>
          <reference field="0" count="1" selected="0">
            <x v="4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A672E0-DAA4-493F-908F-29791BFD09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weeks">
  <location ref="A19:F73" firstHeaderRow="1" firstDataRow="2" firstDataCol="1"/>
  <pivotFields count="8">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numFmtId="3" showAll="0"/>
    <pivotField numFmtId="10" showAll="0"/>
    <pivotField numFmtId="3" showAll="0"/>
    <pivotField numFmtId="9" showAll="0"/>
    <pivotField numFmtId="3" showAll="0"/>
    <pivotField numFmtId="3" showAll="0"/>
    <pivotField axis="axisCol" showAll="0">
      <items count="5">
        <item x="0"/>
        <item x="2"/>
        <item x="1"/>
        <item x="3"/>
        <item t="default"/>
      </items>
    </pivotField>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7"/>
  </colFields>
  <colItems count="5">
    <i>
      <x/>
    </i>
    <i>
      <x v="1"/>
    </i>
    <i>
      <x v="2"/>
    </i>
    <i>
      <x v="3"/>
    </i>
    <i t="grand">
      <x/>
    </i>
  </colItems>
  <dataFields count="1">
    <dataField name="Sum of Impressions" fld="1" baseField="0" baseItem="0" numFmtId="3"/>
  </dataFields>
  <chartFormats count="5">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3">
          <reference field="4294967294" count="1" selected="0">
            <x v="0"/>
          </reference>
          <reference field="0" count="1" selected="0">
            <x v="4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C11064-D69C-4C0D-A345-312E1F9F042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rowHeaderCaption="Platform">
  <location ref="G25:H30" firstHeaderRow="1" firstDataRow="1" firstDataCol="1"/>
  <pivotFields count="8">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3" showAll="0"/>
    <pivotField numFmtId="10" showAll="0"/>
    <pivotField numFmtId="3" showAll="0"/>
    <pivotField dataField="1" numFmtId="9" showAll="0"/>
    <pivotField numFmtId="3" showAll="0"/>
    <pivotField numFmtId="3" showAll="0"/>
    <pivotField axis="axisRow" showAll="0">
      <items count="5">
        <item x="0"/>
        <item x="2"/>
        <item x="1"/>
        <item x="3"/>
        <item t="default"/>
      </items>
    </pivotField>
  </pivotFields>
  <rowFields count="1">
    <field x="7"/>
  </rowFields>
  <rowItems count="5">
    <i>
      <x/>
    </i>
    <i>
      <x v="1"/>
    </i>
    <i>
      <x v="2"/>
    </i>
    <i>
      <x v="3"/>
    </i>
    <i t="grand">
      <x/>
    </i>
  </rowItems>
  <colItems count="1">
    <i/>
  </colItems>
  <dataFields count="1">
    <dataField name="Average of Response Rate" fld="4" subtotal="average" baseField="7" baseItem="0" numFmtId="9"/>
  </dataFields>
  <chartFormats count="1">
    <chartFormat chart="33" format="19"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8303CA-BE65-4914-8B3C-8EE44D9B5B9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Platform">
  <location ref="A12:E17" firstHeaderRow="0" firstDataRow="1" firstDataCol="1"/>
  <pivotFields count="8">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numFmtId="3" showAll="0"/>
    <pivotField numFmtId="10" showAll="0"/>
    <pivotField dataField="1" numFmtId="3" showAll="0"/>
    <pivotField numFmtId="9" showAll="0"/>
    <pivotField dataField="1" numFmtId="3" showAll="0"/>
    <pivotField dataField="1" numFmtId="3" showAll="0"/>
    <pivotField axis="axisRow" showAll="0">
      <items count="5">
        <item x="0"/>
        <item x="2"/>
        <item x="1"/>
        <item x="3"/>
        <item t="default"/>
      </items>
    </pivotField>
  </pivotFields>
  <rowFields count="1">
    <field x="7"/>
  </rowFields>
  <rowItems count="5">
    <i>
      <x/>
    </i>
    <i>
      <x v="1"/>
    </i>
    <i>
      <x v="2"/>
    </i>
    <i>
      <x v="3"/>
    </i>
    <i t="grand">
      <x/>
    </i>
  </rowItems>
  <colFields count="1">
    <field x="-2"/>
  </colFields>
  <colItems count="4">
    <i>
      <x/>
    </i>
    <i i="1">
      <x v="1"/>
    </i>
    <i i="2">
      <x v="2"/>
    </i>
    <i i="3">
      <x v="3"/>
    </i>
  </colItems>
  <dataFields count="4">
    <dataField name="Total Likes" fld="6" baseField="0" baseItem="1" numFmtId="3"/>
    <dataField name="total Post Reach" fld="5" baseField="0" baseItem="1" numFmtId="3"/>
    <dataField name="Total Impressions" fld="1" baseField="0" baseItem="2" numFmtId="3"/>
    <dataField name="Total New Fans" fld="3" baseField="0" baseItem="3" numFmtId="3"/>
  </dataFields>
  <conditionalFormats count="8">
    <conditionalFormat type="all" priority="20">
      <pivotAreas count="1">
        <pivotArea type="data" collapsedLevelsAreSubtotals="1" fieldPosition="0">
          <references count="2">
            <reference field="4294967294" count="1" selected="0">
              <x v="3"/>
            </reference>
            <reference field="7" count="4">
              <x v="0"/>
              <x v="1"/>
              <x v="2"/>
              <x v="3"/>
            </reference>
          </references>
        </pivotArea>
      </pivotAreas>
    </conditionalFormat>
    <conditionalFormat type="all" priority="19">
      <pivotAreas count="1">
        <pivotArea type="data" collapsedLevelsAreSubtotals="1" fieldPosition="0">
          <references count="2">
            <reference field="4294967294" count="1" selected="0">
              <x v="3"/>
            </reference>
            <reference field="7" count="4">
              <x v="0"/>
              <x v="1"/>
              <x v="2"/>
              <x v="3"/>
            </reference>
          </references>
        </pivotArea>
      </pivotAreas>
    </conditionalFormat>
    <conditionalFormat priority="18">
      <pivotAreas count="1">
        <pivotArea type="data" collapsedLevelsAreSubtotals="1" fieldPosition="0">
          <references count="2">
            <reference field="4294967294" count="1" selected="0">
              <x v="0"/>
            </reference>
            <reference field="7" count="4">
              <x v="0"/>
              <x v="1"/>
              <x v="2"/>
              <x v="3"/>
            </reference>
          </references>
        </pivotArea>
      </pivotAreas>
    </conditionalFormat>
    <conditionalFormat priority="17">
      <pivotAreas count="1">
        <pivotArea type="data" collapsedLevelsAreSubtotals="1" fieldPosition="0">
          <references count="2">
            <reference field="4294967294" count="1" selected="0">
              <x v="0"/>
            </reference>
            <reference field="7" count="4">
              <x v="0"/>
              <x v="1"/>
              <x v="2"/>
              <x v="3"/>
            </reference>
          </references>
        </pivotArea>
      </pivotAreas>
    </conditionalFormat>
    <conditionalFormat priority="16">
      <pivotAreas count="1">
        <pivotArea type="data" collapsedLevelsAreSubtotals="1" fieldPosition="0">
          <references count="2">
            <reference field="4294967294" count="1" selected="0">
              <x v="1"/>
            </reference>
            <reference field="7" count="4">
              <x v="0"/>
              <x v="1"/>
              <x v="2"/>
              <x v="3"/>
            </reference>
          </references>
        </pivotArea>
      </pivotAreas>
    </conditionalFormat>
    <conditionalFormat priority="15">
      <pivotAreas count="1">
        <pivotArea type="data" collapsedLevelsAreSubtotals="1" fieldPosition="0">
          <references count="2">
            <reference field="4294967294" count="1" selected="0">
              <x v="1"/>
            </reference>
            <reference field="7" count="4">
              <x v="0"/>
              <x v="1"/>
              <x v="2"/>
              <x v="3"/>
            </reference>
          </references>
        </pivotArea>
      </pivotAreas>
    </conditionalFormat>
    <conditionalFormat priority="14">
      <pivotAreas count="1">
        <pivotArea type="data" collapsedLevelsAreSubtotals="1" fieldPosition="0">
          <references count="2">
            <reference field="4294967294" count="1" selected="0">
              <x v="2"/>
            </reference>
            <reference field="7" count="4">
              <x v="0"/>
              <x v="1"/>
              <x v="2"/>
              <x v="3"/>
            </reference>
          </references>
        </pivotArea>
      </pivotAreas>
    </conditionalFormat>
    <conditionalFormat priority="13">
      <pivotAreas count="1">
        <pivotArea type="data" collapsedLevelsAreSubtotals="1" fieldPosition="0">
          <references count="2">
            <reference field="4294967294" count="1" selected="0">
              <x v="2"/>
            </reference>
            <reference field="7" count="4">
              <x v="0"/>
              <x v="1"/>
              <x v="2"/>
              <x v="3"/>
            </reference>
          </references>
        </pivotArea>
      </pivotAreas>
    </conditionalFormat>
  </conditionalFormats>
  <chartFormats count="4">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1"/>
          </reference>
        </references>
      </pivotArea>
    </chartFormat>
    <chartFormat chart="3" format="22" series="1">
      <pivotArea type="data" outline="0" fieldPosition="0">
        <references count="1">
          <reference field="4294967294" count="1" selected="0">
            <x v="2"/>
          </reference>
        </references>
      </pivotArea>
    </chartFormat>
    <chartFormat chart="3" format="23" series="1">
      <pivotArea type="data" outline="0" fieldPosition="0">
        <references count="1">
          <reference field="4294967294" count="1" selected="0">
            <x v="3"/>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12EA05-E0F9-4DFC-8AE6-F13154F2F5E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latform">
  <location ref="A5:G10" firstHeaderRow="0" firstDataRow="1" firstDataCol="1"/>
  <pivotFields count="8">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numFmtId="3" showAll="0"/>
    <pivotField dataField="1" numFmtId="10" showAll="0"/>
    <pivotField dataField="1" numFmtId="3" showAll="0"/>
    <pivotField dataField="1" numFmtId="9" showAll="0"/>
    <pivotField dataField="1" numFmtId="3" showAll="0"/>
    <pivotField dataField="1" numFmtId="3" showAll="0"/>
    <pivotField axis="axisRow" showAll="0">
      <items count="5">
        <item x="0"/>
        <item x="2"/>
        <item x="1"/>
        <item x="3"/>
        <item t="default"/>
      </items>
    </pivotField>
  </pivotFields>
  <rowFields count="1">
    <field x="7"/>
  </rowFields>
  <rowItems count="5">
    <i>
      <x/>
    </i>
    <i>
      <x v="1"/>
    </i>
    <i>
      <x v="2"/>
    </i>
    <i>
      <x v="3"/>
    </i>
    <i t="grand">
      <x/>
    </i>
  </rowItems>
  <colFields count="1">
    <field x="-2"/>
  </colFields>
  <colItems count="6">
    <i>
      <x/>
    </i>
    <i i="1">
      <x v="1"/>
    </i>
    <i i="2">
      <x v="2"/>
    </i>
    <i i="3">
      <x v="3"/>
    </i>
    <i i="4">
      <x v="4"/>
    </i>
    <i i="5">
      <x v="5"/>
    </i>
  </colItems>
  <dataFields count="6">
    <dataField name="Total Likes" fld="6" baseField="0" baseItem="1" numFmtId="3"/>
    <dataField name="total Post Reach" fld="5" baseField="0" baseItem="1" numFmtId="3"/>
    <dataField name="Total Impressions" fld="1" baseField="0" baseItem="2" numFmtId="3"/>
    <dataField name="Total New Fans" fld="3" baseField="0" baseItem="3" numFmtId="3"/>
    <dataField name="Average of Engagement Rate" fld="2" subtotal="average" baseField="0" baseItem="5" numFmtId="10"/>
    <dataField name="Average of Response Rate" fld="4" subtotal="average" baseField="7" baseItem="0" numFmtId="9"/>
  </dataFields>
  <formats count="1">
    <format dxfId="339">
      <pivotArea collapsedLevelsAreSubtotals="1" fieldPosition="0">
        <references count="2">
          <reference field="4294967294" count="1" selected="0">
            <x v="5"/>
          </reference>
          <reference field="7" count="1">
            <x v="0"/>
          </reference>
        </references>
      </pivotArea>
    </format>
  </formats>
  <conditionalFormats count="12">
    <conditionalFormat type="all" priority="36">
      <pivotAreas count="1">
        <pivotArea type="data" collapsedLevelsAreSubtotals="1" fieldPosition="0">
          <references count="2">
            <reference field="4294967294" count="1" selected="0">
              <x v="3"/>
            </reference>
            <reference field="7" count="4">
              <x v="0"/>
              <x v="1"/>
              <x v="2"/>
              <x v="3"/>
            </reference>
          </references>
        </pivotArea>
      </pivotAreas>
    </conditionalFormat>
    <conditionalFormat type="all" priority="35">
      <pivotAreas count="1">
        <pivotArea type="data" collapsedLevelsAreSubtotals="1" fieldPosition="0">
          <references count="2">
            <reference field="4294967294" count="1" selected="0">
              <x v="3"/>
            </reference>
            <reference field="7" count="4">
              <x v="0"/>
              <x v="1"/>
              <x v="2"/>
              <x v="3"/>
            </reference>
          </references>
        </pivotArea>
      </pivotAreas>
    </conditionalFormat>
    <conditionalFormat priority="34">
      <pivotAreas count="1">
        <pivotArea type="data" collapsedLevelsAreSubtotals="1" fieldPosition="0">
          <references count="2">
            <reference field="4294967294" count="1" selected="0">
              <x v="0"/>
            </reference>
            <reference field="7" count="4">
              <x v="0"/>
              <x v="1"/>
              <x v="2"/>
              <x v="3"/>
            </reference>
          </references>
        </pivotArea>
      </pivotAreas>
    </conditionalFormat>
    <conditionalFormat priority="33">
      <pivotAreas count="1">
        <pivotArea type="data" collapsedLevelsAreSubtotals="1" fieldPosition="0">
          <references count="2">
            <reference field="4294967294" count="1" selected="0">
              <x v="0"/>
            </reference>
            <reference field="7" count="4">
              <x v="0"/>
              <x v="1"/>
              <x v="2"/>
              <x v="3"/>
            </reference>
          </references>
        </pivotArea>
      </pivotAreas>
    </conditionalFormat>
    <conditionalFormat priority="32">
      <pivotAreas count="1">
        <pivotArea type="data" collapsedLevelsAreSubtotals="1" fieldPosition="0">
          <references count="2">
            <reference field="4294967294" count="1" selected="0">
              <x v="1"/>
            </reference>
            <reference field="7" count="4">
              <x v="0"/>
              <x v="1"/>
              <x v="2"/>
              <x v="3"/>
            </reference>
          </references>
        </pivotArea>
      </pivotAreas>
    </conditionalFormat>
    <conditionalFormat priority="31">
      <pivotAreas count="1">
        <pivotArea type="data" collapsedLevelsAreSubtotals="1" fieldPosition="0">
          <references count="2">
            <reference field="4294967294" count="1" selected="0">
              <x v="1"/>
            </reference>
            <reference field="7" count="4">
              <x v="0"/>
              <x v="1"/>
              <x v="2"/>
              <x v="3"/>
            </reference>
          </references>
        </pivotArea>
      </pivotAreas>
    </conditionalFormat>
    <conditionalFormat priority="30">
      <pivotAreas count="1">
        <pivotArea type="data" collapsedLevelsAreSubtotals="1" fieldPosition="0">
          <references count="2">
            <reference field="4294967294" count="1" selected="0">
              <x v="2"/>
            </reference>
            <reference field="7" count="4">
              <x v="0"/>
              <x v="1"/>
              <x v="2"/>
              <x v="3"/>
            </reference>
          </references>
        </pivotArea>
      </pivotAreas>
    </conditionalFormat>
    <conditionalFormat priority="29">
      <pivotAreas count="1">
        <pivotArea type="data" collapsedLevelsAreSubtotals="1" fieldPosition="0">
          <references count="2">
            <reference field="4294967294" count="1" selected="0">
              <x v="2"/>
            </reference>
            <reference field="7" count="4">
              <x v="0"/>
              <x v="1"/>
              <x v="2"/>
              <x v="3"/>
            </reference>
          </references>
        </pivotArea>
      </pivotAreas>
    </conditionalFormat>
    <conditionalFormat type="all" priority="24">
      <pivotAreas count="1">
        <pivotArea type="data" collapsedLevelsAreSubtotals="1" fieldPosition="0">
          <references count="2">
            <reference field="4294967294" count="1" selected="0">
              <x v="4"/>
            </reference>
            <reference field="7" count="4">
              <x v="0"/>
              <x v="1"/>
              <x v="2"/>
              <x v="3"/>
            </reference>
          </references>
        </pivotArea>
      </pivotAreas>
    </conditionalFormat>
    <conditionalFormat type="all" priority="23">
      <pivotAreas count="1">
        <pivotArea type="data" collapsedLevelsAreSubtotals="1" fieldPosition="0">
          <references count="2">
            <reference field="4294967294" count="1" selected="0">
              <x v="4"/>
            </reference>
            <reference field="7" count="4">
              <x v="0"/>
              <x v="1"/>
              <x v="2"/>
              <x v="3"/>
            </reference>
          </references>
        </pivotArea>
      </pivotAreas>
    </conditionalFormat>
    <conditionalFormat priority="22">
      <pivotAreas count="1">
        <pivotArea type="data" collapsedLevelsAreSubtotals="1" fieldPosition="0">
          <references count="2">
            <reference field="4294967294" count="1" selected="0">
              <x v="5"/>
            </reference>
            <reference field="7" count="4">
              <x v="0"/>
              <x v="1"/>
              <x v="2"/>
              <x v="3"/>
            </reference>
          </references>
        </pivotArea>
      </pivotAreas>
    </conditionalFormat>
    <conditionalFormat priority="21">
      <pivotAreas count="1">
        <pivotArea type="data" collapsedLevelsAreSubtotals="1" fieldPosition="0">
          <references count="2">
            <reference field="4294967294" count="1" selected="0">
              <x v="5"/>
            </reference>
            <reference field="7" count="4">
              <x v="0"/>
              <x v="1"/>
              <x v="2"/>
              <x v="3"/>
            </reference>
          </references>
        </pivotArea>
      </pivotAreas>
    </conditionalFormat>
  </conditional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DC36913B-574E-4368-A75F-AD989995B51F}" sourceName="Week">
  <pivotTables>
    <pivotTable tabId="5" name="PivotTable1"/>
    <pivotTable tabId="5" name="PivotTable4"/>
    <pivotTable tabId="5" name="PivotTable5"/>
    <pivotTable tabId="5" name="PivotTable2"/>
    <pivotTable tabId="5" name="PivotTable3"/>
    <pivotTable tabId="5" name="PivotTable6"/>
    <pivotTable tabId="5" name="PivotTable8"/>
  </pivotTables>
  <data>
    <tabular pivotCacheId="276923305">
      <items count="5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EB396C6-4ADB-465B-BCDD-783E7E990E76}" sourceName="platform">
  <pivotTables>
    <pivotTable tabId="5" name="PivotTable1"/>
    <pivotTable tabId="5" name="PivotTable4"/>
    <pivotTable tabId="5" name="PivotTable5"/>
    <pivotTable tabId="5" name="PivotTable2"/>
    <pivotTable tabId="5" name="PivotTable3"/>
    <pivotTable tabId="5" name="PivotTable6"/>
    <pivotTable tabId="5" name="PivotTable8"/>
  </pivotTables>
  <data>
    <tabular pivotCacheId="276923305">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xr10:uid="{77675B22-B2CC-43E2-AFAA-6CEC4022672A}" cache="Slicer_Week" caption="Week" startItem="27" columnCount="3" style="SlicerStyleLight1" rowHeight="234950"/>
  <slicer name="platform" xr10:uid="{452C939B-DA1E-408B-B3A0-8B378A44A711}" cache="Slicer_platform" caption="platform"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 xr10:uid="{36CE09B9-2F74-4930-B8C9-2808D9B2E4A9}" cache="Slicer_Week" caption="Week" columnCount="3" style="SlicerStyleLight2 2 2 3 2 2 2 2 2 2 2 2 2 2 2 3 2 2 2" rowHeight="234950"/>
  <slicer name="platform 1" xr10:uid="{A20CEC82-EA1F-425A-A477-2E54C646128E}" cache="Slicer_platform" caption="platform" style="SlicerStyleLight2 2 2 3 2 2 2 2 2 2 2 2 2 2 2 3 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2C2512-C38D-4B1C-8944-D571546A9AFD}" name="Facebook" displayName="Facebook" ref="B11:I63" totalsRowShown="0" headerRowDxfId="336" dataDxfId="335">
  <tableColumns count="8">
    <tableColumn id="1" xr3:uid="{25D70E68-5107-4DDD-890E-48A69B0904A3}" name="Week" dataDxfId="334"/>
    <tableColumn id="2" xr3:uid="{F22DE97A-D59C-48F0-81B7-D38414419E7D}" name="Impressions" dataDxfId="333"/>
    <tableColumn id="3" xr3:uid="{2BE37DF8-0ED9-42A8-B6D7-DB55359B89DF}" name="Engagement Rate" dataDxfId="332"/>
    <tableColumn id="4" xr3:uid="{F236E609-3241-4A8E-91ED-0A1B0C671630}" name="Audience Growth Rate" dataDxfId="331"/>
    <tableColumn id="5" xr3:uid="{1B209FFD-2BAA-4216-A680-A05B0324A8AD}" name="Response Rate" dataDxfId="330"/>
    <tableColumn id="7" xr3:uid="{D112648D-8006-4945-A9BD-B36125BA153A}" name="Post Reach" dataDxfId="329"/>
    <tableColumn id="8" xr3:uid="{85432E2E-C6D4-4339-81F6-1DA84874227D}" name="Likes" dataDxfId="328"/>
    <tableColumn id="6" xr3:uid="{5667BACC-FF91-4E0C-89DC-3E4446915398}" name="platform" dataDxfId="3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D42AA1-C196-4D78-BD39-4C938BBEB25D}" name="Linkedin" displayName="Linkedin" ref="K11:R63" totalsRowShown="0" headerRowDxfId="326" dataDxfId="325">
  <tableColumns count="8">
    <tableColumn id="1" xr3:uid="{07785C78-ECA8-401F-855F-AEFF741B03A2}" name="Week" dataDxfId="324"/>
    <tableColumn id="2" xr3:uid="{8443A1CA-CBDE-46BC-9EAC-FF67BB4CE3DD}" name="Impressions" dataDxfId="323"/>
    <tableColumn id="3" xr3:uid="{92E5CC0A-E82E-45F3-8B41-5A6E8465AE44}" name="Engagement Rate" dataDxfId="322"/>
    <tableColumn id="4" xr3:uid="{BE16DAC0-32D3-46F5-872B-5A2A5074E789}" name="Audience Growth Rate" dataDxfId="321"/>
    <tableColumn id="5" xr3:uid="{ED394459-7585-4136-BFBB-2444F2B434E9}" name="Response Rate" dataDxfId="320"/>
    <tableColumn id="7" xr3:uid="{1EC76CE8-A774-447F-BA82-066CE64B1722}" name="Post Reach" dataDxfId="319"/>
    <tableColumn id="8" xr3:uid="{9F006A37-B2C7-4138-BDF7-976D57008615}" name="Likes" dataDxfId="318"/>
    <tableColumn id="6" xr3:uid="{09E93D50-4DA1-4603-8DD9-00BE5619264C}" name="platform" dataDxfId="3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EA7306-71A3-400F-A0D1-793E610270A1}" name="Instagram" displayName="Instagram" ref="T11:AA63" totalsRowShown="0" headerRowDxfId="316" dataDxfId="315">
  <tableColumns count="8">
    <tableColumn id="1" xr3:uid="{ECAB29B2-2AE1-40E2-A65D-EB63AA845F8C}" name="Week" dataDxfId="314"/>
    <tableColumn id="2" xr3:uid="{A63A424A-1A15-4D4B-AE5C-A4A8AE18615B}" name="Impressions" dataDxfId="313"/>
    <tableColumn id="3" xr3:uid="{D98CADC7-CE85-4FDE-873C-B4E969E0F279}" name="Engagement Rate" dataDxfId="312"/>
    <tableColumn id="4" xr3:uid="{68E2357B-84CE-46C0-A846-6EA90CC086C6}" name="Audience Growth Rate" dataDxfId="311"/>
    <tableColumn id="5" xr3:uid="{E38DCFD5-9CEF-45EF-8000-9A593F59C3E0}" name="Response Rate" dataDxfId="310"/>
    <tableColumn id="7" xr3:uid="{EAB5218D-C2E3-4B31-8AAE-25F1C6437781}" name="Post Reach" dataDxfId="309"/>
    <tableColumn id="8" xr3:uid="{F75A9176-ED52-41A1-9EB8-46E08A9827B1}" name="Likes" dataDxfId="308"/>
    <tableColumn id="6" xr3:uid="{2E5903F4-0E21-4B6D-9C14-28042AE61E53}" name="platform" dataDxfId="30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9D0A93-5BD0-4B52-8182-AE2B24E7209E}" name="X" displayName="X" ref="AC11:AJ63" totalsRowShown="0" headerRowDxfId="306" dataDxfId="305">
  <tableColumns count="8">
    <tableColumn id="1" xr3:uid="{4343BD06-6156-4C3F-9855-F128033584A7}" name="Week" dataDxfId="304"/>
    <tableColumn id="2" xr3:uid="{5FED86A0-FD98-4FBF-BDEB-351F2DF2D683}" name="Impressions" dataDxfId="303"/>
    <tableColumn id="3" xr3:uid="{9799D154-B5D1-4FDD-8117-F6DF61A25491}" name="Engagement Rate" dataDxfId="302"/>
    <tableColumn id="4" xr3:uid="{767F97DA-220F-4F41-B31E-4116A2691DDB}" name="Audience Growth Rate" dataDxfId="301"/>
    <tableColumn id="5" xr3:uid="{EADC66EF-5A13-4C51-A8C4-804340CED61E}" name="Response Rate" dataDxfId="300"/>
    <tableColumn id="7" xr3:uid="{D900D829-017E-4C32-9108-742F0DB897AC}" name="Post Reach" dataDxfId="299"/>
    <tableColumn id="8" xr3:uid="{0D7AE255-6F61-4D65-BABF-7453D7572E49}" name="Likes" dataDxfId="298"/>
    <tableColumn id="6" xr3:uid="{953A36C3-1EC0-428B-8FA1-B297FC2818F7}" name="platform" dataDxfId="29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C00C4E-00AA-4198-8F5E-12D041024613}" name="Facebook7" displayName="Facebook7" ref="A1:H209" totalsRowShown="0" headerRowDxfId="296" dataDxfId="295">
  <tableColumns count="8">
    <tableColumn id="1" xr3:uid="{314BD654-2341-4480-924D-28ED33A669EC}" name="Week" dataDxfId="294"/>
    <tableColumn id="2" xr3:uid="{A6D8A5F9-741D-492B-8301-65D04236DCFD}" name="Impressions" dataDxfId="293"/>
    <tableColumn id="3" xr3:uid="{5508D5F5-73DF-4688-B20A-F396AA54F699}" name="Engagement Rate" dataDxfId="292"/>
    <tableColumn id="4" xr3:uid="{585DA657-9457-4D14-9F26-88AFDFA17C11}" name="New Fans" dataDxfId="291"/>
    <tableColumn id="5" xr3:uid="{DCA5EEDB-F371-426F-9327-3AC9107A6416}" name="Response Rate" dataDxfId="290"/>
    <tableColumn id="7" xr3:uid="{37040F9E-F846-4BCA-A911-4F8A8103D30D}" name="Post Reach" dataDxfId="289"/>
    <tableColumn id="8" xr3:uid="{F0A6BC42-6CA3-4EDC-9E06-29DAF889C015}" name="Likes" dataDxfId="288"/>
    <tableColumn id="6" xr3:uid="{F3E69FCE-A7F4-41A4-BD9D-93832A701A3E}" name="platform" dataDxfId="28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AA5F-C4E0-4974-9045-DDB38BD993C8}">
  <dimension ref="A1:AN63"/>
  <sheetViews>
    <sheetView topLeftCell="C1" zoomScale="85" zoomScaleNormal="85" workbookViewId="0">
      <selection activeCell="AB13" sqref="AB13"/>
    </sheetView>
  </sheetViews>
  <sheetFormatPr defaultRowHeight="13.2" x14ac:dyDescent="0.25"/>
  <cols>
    <col min="1" max="1" width="8.88671875" style="6"/>
    <col min="2" max="2" width="8.88671875" style="7"/>
    <col min="3" max="3" width="13.6640625" style="7" customWidth="1"/>
    <col min="4" max="4" width="17.77734375" style="7" customWidth="1"/>
    <col min="5" max="5" width="21.5546875" style="7" customWidth="1"/>
    <col min="6" max="6" width="15.5546875" style="7" customWidth="1"/>
    <col min="7" max="7" width="12.44140625" style="7" customWidth="1"/>
    <col min="8" max="8" width="12.88671875" style="7" customWidth="1"/>
    <col min="9" max="9" width="8.88671875" style="6"/>
    <col min="10" max="10" width="8.88671875" style="7"/>
    <col min="11" max="11" width="13.6640625" style="7" customWidth="1"/>
    <col min="12" max="12" width="17.77734375" style="7" customWidth="1"/>
    <col min="13" max="13" width="21.5546875" style="7" customWidth="1"/>
    <col min="14" max="14" width="15.5546875" style="7" customWidth="1"/>
    <col min="15" max="15" width="12.44140625" style="7" customWidth="1"/>
    <col min="16" max="16" width="12.88671875" style="7" customWidth="1"/>
    <col min="17" max="17" width="8.88671875" style="6"/>
    <col min="18" max="18" width="8.88671875" style="7"/>
    <col min="19" max="19" width="13.6640625" style="7" customWidth="1"/>
    <col min="20" max="20" width="17.77734375" style="7" customWidth="1"/>
    <col min="21" max="21" width="21.5546875" style="7" customWidth="1"/>
    <col min="22" max="22" width="15.5546875" style="7" customWidth="1"/>
    <col min="23" max="23" width="12.44140625" style="7" customWidth="1"/>
    <col min="24" max="24" width="12.88671875" style="7" customWidth="1"/>
    <col min="25" max="25" width="8.88671875" style="6"/>
    <col min="26" max="26" width="8.88671875" style="7"/>
    <col min="27" max="27" width="13.6640625" style="7" customWidth="1"/>
    <col min="28" max="28" width="17.77734375" style="7" customWidth="1"/>
    <col min="29" max="29" width="21.5546875" style="7" customWidth="1"/>
    <col min="30" max="30" width="15.5546875" style="7" customWidth="1"/>
    <col min="31" max="31" width="12.44140625" style="7" customWidth="1"/>
    <col min="32" max="32" width="12.88671875" style="7" customWidth="1"/>
    <col min="33" max="35" width="8.88671875" style="6"/>
    <col min="36" max="36" width="16.109375" style="6" customWidth="1"/>
    <col min="37" max="16384" width="8.88671875" style="6"/>
  </cols>
  <sheetData>
    <row r="1" spans="1:40" x14ac:dyDescent="0.25">
      <c r="A1" s="8"/>
      <c r="B1" s="9"/>
      <c r="C1" s="9"/>
      <c r="D1" s="9"/>
      <c r="E1" s="9"/>
      <c r="F1" s="9"/>
      <c r="G1" s="9"/>
      <c r="H1" s="9"/>
      <c r="I1" s="8"/>
      <c r="J1" s="9"/>
      <c r="K1" s="9"/>
      <c r="L1" s="9"/>
      <c r="M1" s="9"/>
      <c r="N1" s="9"/>
      <c r="O1" s="9"/>
      <c r="P1" s="9"/>
      <c r="Q1" s="8"/>
      <c r="R1" s="9"/>
      <c r="S1" s="9"/>
      <c r="T1" s="9"/>
      <c r="U1" s="9"/>
      <c r="V1" s="9"/>
      <c r="W1" s="9"/>
      <c r="X1" s="9"/>
      <c r="Y1" s="8"/>
      <c r="Z1" s="9"/>
      <c r="AA1" s="9"/>
      <c r="AB1" s="9"/>
      <c r="AC1" s="9"/>
      <c r="AD1" s="9"/>
      <c r="AE1" s="9"/>
      <c r="AF1" s="9"/>
      <c r="AG1" s="8"/>
      <c r="AH1" s="12"/>
      <c r="AI1" s="12"/>
      <c r="AJ1" s="12"/>
    </row>
    <row r="2" spans="1:40" ht="14.4" customHeight="1" x14ac:dyDescent="0.25">
      <c r="A2" s="8"/>
      <c r="B2" s="9"/>
      <c r="C2" s="9"/>
      <c r="D2" s="9"/>
      <c r="E2" s="9"/>
      <c r="F2" s="28" t="s">
        <v>7</v>
      </c>
      <c r="G2" s="28"/>
      <c r="H2" s="10">
        <v>25450</v>
      </c>
      <c r="I2" s="8"/>
      <c r="J2" s="9"/>
      <c r="K2" s="9"/>
      <c r="L2" s="9"/>
      <c r="M2" s="9"/>
      <c r="N2" s="28" t="s">
        <v>7</v>
      </c>
      <c r="O2" s="28"/>
      <c r="P2" s="10">
        <v>18500</v>
      </c>
      <c r="Q2" s="8"/>
      <c r="R2" s="9"/>
      <c r="S2" s="9"/>
      <c r="T2" s="9"/>
      <c r="U2" s="9"/>
      <c r="V2" s="28" t="s">
        <v>7</v>
      </c>
      <c r="W2" s="28"/>
      <c r="X2" s="10">
        <v>28500</v>
      </c>
      <c r="Y2" s="8"/>
      <c r="Z2" s="9"/>
      <c r="AA2" s="9"/>
      <c r="AB2" s="9"/>
      <c r="AC2" s="9"/>
      <c r="AD2" s="28" t="s">
        <v>7</v>
      </c>
      <c r="AE2" s="28"/>
      <c r="AF2" s="10">
        <v>35508</v>
      </c>
      <c r="AG2" s="8"/>
      <c r="AH2" s="12"/>
      <c r="AI2" s="12"/>
      <c r="AJ2" s="12"/>
    </row>
    <row r="3" spans="1:40" ht="14.4" customHeight="1" x14ac:dyDescent="0.25">
      <c r="A3" s="8"/>
      <c r="B3" s="9"/>
      <c r="C3" s="9"/>
      <c r="D3" s="9"/>
      <c r="E3" s="9"/>
      <c r="F3" s="28" t="s">
        <v>13</v>
      </c>
      <c r="G3" s="28"/>
      <c r="H3" s="10"/>
      <c r="I3" s="13">
        <f>H3/H2</f>
        <v>0</v>
      </c>
      <c r="J3" s="9"/>
      <c r="K3" s="9"/>
      <c r="L3" s="9"/>
      <c r="M3" s="9"/>
      <c r="N3" s="28" t="s">
        <v>13</v>
      </c>
      <c r="O3" s="28"/>
      <c r="P3" s="10"/>
      <c r="Q3" s="13">
        <f>P3/P2</f>
        <v>0</v>
      </c>
      <c r="R3" s="9"/>
      <c r="S3" s="9"/>
      <c r="T3" s="9"/>
      <c r="U3" s="9"/>
      <c r="V3" s="28" t="s">
        <v>13</v>
      </c>
      <c r="W3" s="28"/>
      <c r="X3" s="10"/>
      <c r="Y3" s="13">
        <f>X3/X2</f>
        <v>0</v>
      </c>
      <c r="Z3" s="9"/>
      <c r="AA3" s="9"/>
      <c r="AB3" s="9"/>
      <c r="AC3" s="9"/>
      <c r="AD3" s="28" t="s">
        <v>13</v>
      </c>
      <c r="AE3" s="28"/>
      <c r="AF3" s="10"/>
      <c r="AG3" s="13">
        <f>AF3/AF2</f>
        <v>0</v>
      </c>
      <c r="AH3" s="12"/>
      <c r="AI3" s="12"/>
      <c r="AJ3" s="12"/>
    </row>
    <row r="4" spans="1:40" ht="14.4" customHeight="1" x14ac:dyDescent="0.25">
      <c r="A4" s="8"/>
      <c r="B4" s="9"/>
      <c r="C4" s="9"/>
      <c r="D4" s="9"/>
      <c r="E4" s="9"/>
      <c r="F4" s="28" t="s">
        <v>12</v>
      </c>
      <c r="G4" s="28"/>
      <c r="H4" s="10"/>
      <c r="I4" s="8"/>
      <c r="J4" s="9"/>
      <c r="K4" s="9"/>
      <c r="L4" s="9"/>
      <c r="M4" s="9"/>
      <c r="N4" s="28" t="s">
        <v>12</v>
      </c>
      <c r="O4" s="28"/>
      <c r="P4" s="10"/>
      <c r="Q4" s="8"/>
      <c r="R4" s="9"/>
      <c r="S4" s="9"/>
      <c r="T4" s="9"/>
      <c r="U4" s="9"/>
      <c r="V4" s="28" t="s">
        <v>12</v>
      </c>
      <c r="W4" s="28"/>
      <c r="X4" s="10"/>
      <c r="Y4" s="8"/>
      <c r="Z4" s="9"/>
      <c r="AA4" s="9"/>
      <c r="AB4" s="9"/>
      <c r="AC4" s="9"/>
      <c r="AD4" s="28" t="s">
        <v>12</v>
      </c>
      <c r="AE4" s="28"/>
      <c r="AF4" s="10"/>
      <c r="AG4" s="8"/>
      <c r="AH4" s="12"/>
      <c r="AI4" s="12"/>
      <c r="AJ4" s="12"/>
    </row>
    <row r="5" spans="1:40" ht="14.4" customHeight="1" x14ac:dyDescent="0.25">
      <c r="A5" s="8"/>
      <c r="B5" s="9"/>
      <c r="C5" s="9"/>
      <c r="D5" s="9"/>
      <c r="E5" s="9"/>
      <c r="F5" s="28" t="s">
        <v>5</v>
      </c>
      <c r="G5" s="28"/>
      <c r="H5" s="10"/>
      <c r="I5" s="8"/>
      <c r="J5" s="9"/>
      <c r="K5" s="9"/>
      <c r="L5" s="9"/>
      <c r="M5" s="9"/>
      <c r="N5" s="28" t="s">
        <v>5</v>
      </c>
      <c r="O5" s="28"/>
      <c r="P5" s="10"/>
      <c r="Q5" s="8"/>
      <c r="R5" s="9"/>
      <c r="S5" s="9"/>
      <c r="T5" s="9"/>
      <c r="U5" s="9"/>
      <c r="V5" s="28" t="s">
        <v>5</v>
      </c>
      <c r="W5" s="28"/>
      <c r="X5" s="10"/>
      <c r="Y5" s="8"/>
      <c r="Z5" s="9"/>
      <c r="AA5" s="9"/>
      <c r="AB5" s="9"/>
      <c r="AC5" s="9"/>
      <c r="AD5" s="28" t="s">
        <v>5</v>
      </c>
      <c r="AE5" s="28"/>
      <c r="AF5" s="10"/>
      <c r="AG5" s="8"/>
      <c r="AH5" s="12"/>
      <c r="AI5" s="12"/>
      <c r="AJ5" s="12"/>
    </row>
    <row r="6" spans="1:40" ht="14.4" customHeight="1" x14ac:dyDescent="0.25">
      <c r="A6" s="8"/>
      <c r="B6" s="9"/>
      <c r="C6" s="9"/>
      <c r="D6" s="9"/>
      <c r="E6" s="9"/>
      <c r="F6" s="28" t="s">
        <v>9</v>
      </c>
      <c r="G6" s="28"/>
      <c r="H6" s="10"/>
      <c r="I6" s="8"/>
      <c r="J6" s="9"/>
      <c r="K6" s="9"/>
      <c r="L6" s="9"/>
      <c r="M6" s="9"/>
      <c r="N6" s="28" t="s">
        <v>9</v>
      </c>
      <c r="O6" s="28"/>
      <c r="P6" s="10"/>
      <c r="Q6" s="8"/>
      <c r="R6" s="9"/>
      <c r="S6" s="9"/>
      <c r="T6" s="9"/>
      <c r="U6" s="9"/>
      <c r="V6" s="28" t="s">
        <v>9</v>
      </c>
      <c r="W6" s="28"/>
      <c r="X6" s="10"/>
      <c r="Y6" s="8"/>
      <c r="Z6" s="9"/>
      <c r="AA6" s="9"/>
      <c r="AB6" s="9"/>
      <c r="AC6" s="9"/>
      <c r="AD6" s="28" t="s">
        <v>9</v>
      </c>
      <c r="AE6" s="28"/>
      <c r="AF6" s="10"/>
      <c r="AG6" s="8"/>
      <c r="AH6" s="12"/>
      <c r="AI6" s="12"/>
      <c r="AJ6" s="12"/>
    </row>
    <row r="7" spans="1:40" ht="14.4" customHeight="1" x14ac:dyDescent="0.25">
      <c r="A7" s="8"/>
      <c r="B7" s="9"/>
      <c r="C7" s="9"/>
      <c r="D7" s="9"/>
      <c r="E7" s="9"/>
      <c r="F7" s="28" t="s">
        <v>14</v>
      </c>
      <c r="G7" s="28"/>
      <c r="H7" s="11"/>
      <c r="I7" s="8"/>
      <c r="J7" s="9"/>
      <c r="K7" s="9"/>
      <c r="L7" s="9"/>
      <c r="M7" s="9"/>
      <c r="N7" s="28" t="s">
        <v>14</v>
      </c>
      <c r="O7" s="28"/>
      <c r="P7" s="11"/>
      <c r="Q7" s="8"/>
      <c r="R7" s="9"/>
      <c r="S7" s="9"/>
      <c r="T7" s="9"/>
      <c r="U7" s="9"/>
      <c r="V7" s="28" t="s">
        <v>14</v>
      </c>
      <c r="W7" s="28"/>
      <c r="X7" s="11"/>
      <c r="Y7" s="8"/>
      <c r="Z7" s="9"/>
      <c r="AA7" s="9"/>
      <c r="AB7" s="9"/>
      <c r="AC7" s="9"/>
      <c r="AD7" s="28" t="s">
        <v>14</v>
      </c>
      <c r="AE7" s="28"/>
      <c r="AF7" s="11"/>
      <c r="AG7" s="8"/>
      <c r="AH7" s="12"/>
      <c r="AI7" s="12"/>
      <c r="AJ7" s="12"/>
    </row>
    <row r="8" spans="1:40" ht="14.4" customHeight="1" x14ac:dyDescent="0.25">
      <c r="A8" s="8"/>
      <c r="B8" s="9"/>
      <c r="C8" s="9"/>
      <c r="D8" s="9"/>
      <c r="E8" s="9"/>
      <c r="F8" s="28" t="s">
        <v>15</v>
      </c>
      <c r="G8" s="28"/>
      <c r="H8" s="11"/>
      <c r="I8" s="8"/>
      <c r="J8" s="9"/>
      <c r="K8" s="9"/>
      <c r="L8" s="9"/>
      <c r="M8" s="9"/>
      <c r="N8" s="28" t="s">
        <v>15</v>
      </c>
      <c r="O8" s="28"/>
      <c r="P8" s="11"/>
      <c r="Q8" s="8"/>
      <c r="R8" s="9"/>
      <c r="S8" s="9"/>
      <c r="T8" s="9"/>
      <c r="U8" s="9"/>
      <c r="V8" s="28" t="s">
        <v>15</v>
      </c>
      <c r="W8" s="28"/>
      <c r="X8" s="11"/>
      <c r="Y8" s="8"/>
      <c r="Z8" s="9"/>
      <c r="AA8" s="9"/>
      <c r="AB8" s="9"/>
      <c r="AC8" s="9"/>
      <c r="AD8" s="28" t="s">
        <v>15</v>
      </c>
      <c r="AE8" s="28"/>
      <c r="AF8" s="11"/>
      <c r="AG8" s="8"/>
      <c r="AH8" s="12"/>
      <c r="AI8" s="12"/>
      <c r="AJ8" s="12"/>
    </row>
    <row r="9" spans="1:40" ht="14.4" customHeight="1" x14ac:dyDescent="0.25">
      <c r="A9" s="8"/>
      <c r="B9" s="9"/>
      <c r="C9" s="9"/>
      <c r="D9" s="9"/>
      <c r="E9" s="9"/>
      <c r="F9" s="28" t="s">
        <v>1</v>
      </c>
      <c r="G9" s="28"/>
      <c r="H9" s="10"/>
      <c r="I9" s="8"/>
      <c r="J9" s="9"/>
      <c r="K9" s="9"/>
      <c r="L9" s="9"/>
      <c r="M9" s="9"/>
      <c r="N9" s="28" t="s">
        <v>1</v>
      </c>
      <c r="O9" s="28"/>
      <c r="P9" s="10"/>
      <c r="Q9" s="8"/>
      <c r="R9" s="9"/>
      <c r="S9" s="9"/>
      <c r="T9" s="9"/>
      <c r="U9" s="9"/>
      <c r="V9" s="28" t="s">
        <v>1</v>
      </c>
      <c r="W9" s="28"/>
      <c r="X9" s="10"/>
      <c r="Y9" s="8"/>
      <c r="Z9" s="9"/>
      <c r="AA9" s="9"/>
      <c r="AB9" s="9"/>
      <c r="AC9" s="9"/>
      <c r="AD9" s="28" t="s">
        <v>1</v>
      </c>
      <c r="AE9" s="28"/>
      <c r="AF9" s="10"/>
      <c r="AG9" s="8"/>
      <c r="AH9" s="30" t="s">
        <v>16</v>
      </c>
      <c r="AI9" s="30"/>
      <c r="AJ9" s="14" t="s">
        <v>17</v>
      </c>
    </row>
    <row r="10" spans="1:40" ht="40.200000000000003" customHeight="1" x14ac:dyDescent="0.25">
      <c r="A10" s="8"/>
      <c r="B10" s="9"/>
      <c r="C10" s="29" t="s">
        <v>6</v>
      </c>
      <c r="D10" s="29"/>
      <c r="E10" s="29"/>
      <c r="F10" s="29"/>
      <c r="G10" s="29"/>
      <c r="H10" s="29"/>
      <c r="I10" s="8"/>
      <c r="J10" s="9"/>
      <c r="K10" s="29" t="s">
        <v>8</v>
      </c>
      <c r="L10" s="29"/>
      <c r="M10" s="29"/>
      <c r="N10" s="29"/>
      <c r="O10" s="29"/>
      <c r="P10" s="29"/>
      <c r="Q10" s="8"/>
      <c r="R10" s="9"/>
      <c r="S10" s="29" t="s">
        <v>10</v>
      </c>
      <c r="T10" s="29"/>
      <c r="U10" s="29"/>
      <c r="V10" s="29"/>
      <c r="W10" s="29"/>
      <c r="X10" s="29"/>
      <c r="Y10" s="8"/>
      <c r="Z10" s="9"/>
      <c r="AA10" s="29" t="s">
        <v>11</v>
      </c>
      <c r="AB10" s="29"/>
      <c r="AC10" s="29"/>
      <c r="AD10" s="29"/>
      <c r="AE10" s="29"/>
      <c r="AF10" s="29"/>
      <c r="AG10" s="8"/>
      <c r="AH10" s="12"/>
      <c r="AI10" s="12"/>
      <c r="AJ10" s="12"/>
    </row>
    <row r="11" spans="1:40" ht="26.4" x14ac:dyDescent="0.25">
      <c r="A11" s="8"/>
      <c r="B11" s="1" t="s">
        <v>0</v>
      </c>
      <c r="C11" s="1" t="s">
        <v>1</v>
      </c>
      <c r="D11" s="1" t="s">
        <v>2</v>
      </c>
      <c r="E11" s="1" t="s">
        <v>3</v>
      </c>
      <c r="F11" s="1" t="s">
        <v>4</v>
      </c>
      <c r="G11" s="1" t="s">
        <v>5</v>
      </c>
      <c r="H11" s="1" t="s">
        <v>9</v>
      </c>
      <c r="I11" s="1" t="s">
        <v>18</v>
      </c>
      <c r="J11" s="8"/>
      <c r="K11" s="1" t="s">
        <v>0</v>
      </c>
      <c r="L11" s="1" t="s">
        <v>1</v>
      </c>
      <c r="M11" s="1" t="s">
        <v>2</v>
      </c>
      <c r="N11" s="1" t="s">
        <v>3</v>
      </c>
      <c r="O11" s="1" t="s">
        <v>4</v>
      </c>
      <c r="P11" s="1" t="s">
        <v>5</v>
      </c>
      <c r="Q11" s="1" t="s">
        <v>9</v>
      </c>
      <c r="R11" s="1" t="s">
        <v>18</v>
      </c>
      <c r="S11" s="8"/>
      <c r="T11" s="1" t="s">
        <v>0</v>
      </c>
      <c r="U11" s="1" t="s">
        <v>1</v>
      </c>
      <c r="V11" s="1" t="s">
        <v>2</v>
      </c>
      <c r="W11" s="1" t="s">
        <v>3</v>
      </c>
      <c r="X11" s="1" t="s">
        <v>4</v>
      </c>
      <c r="Y11" s="1" t="s">
        <v>5</v>
      </c>
      <c r="Z11" s="1" t="s">
        <v>9</v>
      </c>
      <c r="AA11" s="1" t="s">
        <v>18</v>
      </c>
      <c r="AB11" s="8"/>
      <c r="AC11" s="1" t="s">
        <v>0</v>
      </c>
      <c r="AD11" s="1" t="s">
        <v>1</v>
      </c>
      <c r="AE11" s="1" t="s">
        <v>2</v>
      </c>
      <c r="AF11" s="1" t="s">
        <v>3</v>
      </c>
      <c r="AG11" s="1" t="s">
        <v>4</v>
      </c>
      <c r="AH11" s="1" t="s">
        <v>5</v>
      </c>
      <c r="AI11" s="1" t="s">
        <v>9</v>
      </c>
      <c r="AJ11" s="1" t="s">
        <v>18</v>
      </c>
      <c r="AK11" s="8"/>
      <c r="AL11" s="12"/>
      <c r="AM11" s="12"/>
      <c r="AN11" s="12"/>
    </row>
    <row r="12" spans="1:40" ht="26.4" x14ac:dyDescent="0.25">
      <c r="A12" s="8"/>
      <c r="B12" s="2">
        <v>1</v>
      </c>
      <c r="C12" s="3">
        <v>10645</v>
      </c>
      <c r="D12" s="5">
        <v>3.7499999999999999E-2</v>
      </c>
      <c r="E12" s="3">
        <v>18</v>
      </c>
      <c r="F12" s="4">
        <v>0.82</v>
      </c>
      <c r="G12" s="3">
        <v>8942</v>
      </c>
      <c r="H12" s="3">
        <v>596</v>
      </c>
      <c r="I12" s="3" t="s">
        <v>19</v>
      </c>
      <c r="J12" s="8"/>
      <c r="K12" s="2">
        <v>1</v>
      </c>
      <c r="L12" s="3">
        <v>10200</v>
      </c>
      <c r="M12" s="5">
        <v>3.49E-2</v>
      </c>
      <c r="N12" s="3">
        <v>17</v>
      </c>
      <c r="O12" s="4">
        <v>0.82</v>
      </c>
      <c r="P12" s="3">
        <v>8584</v>
      </c>
      <c r="Q12" s="3">
        <v>944</v>
      </c>
      <c r="R12" s="3" t="s">
        <v>20</v>
      </c>
      <c r="S12" s="8"/>
      <c r="T12" s="2">
        <v>1</v>
      </c>
      <c r="U12" s="3">
        <v>12138</v>
      </c>
      <c r="V12" s="5">
        <v>3.9100000000000003E-2</v>
      </c>
      <c r="W12" s="3">
        <v>23</v>
      </c>
      <c r="X12" s="4">
        <v>0.82</v>
      </c>
      <c r="Y12" s="3">
        <v>10387</v>
      </c>
      <c r="Z12" s="3">
        <v>1150</v>
      </c>
      <c r="AA12" s="3" t="s">
        <v>22</v>
      </c>
      <c r="AB12" s="8"/>
      <c r="AC12" s="2">
        <v>1</v>
      </c>
      <c r="AD12" s="3">
        <v>14808</v>
      </c>
      <c r="AE12" s="5">
        <v>0.04</v>
      </c>
      <c r="AF12" s="3">
        <v>27</v>
      </c>
      <c r="AG12" s="4">
        <v>0.82</v>
      </c>
      <c r="AH12" s="3">
        <v>9660</v>
      </c>
      <c r="AI12" s="3">
        <v>1449</v>
      </c>
      <c r="AJ12" s="3" t="s">
        <v>21</v>
      </c>
      <c r="AK12" s="8"/>
      <c r="AL12" s="12"/>
      <c r="AM12" s="12"/>
      <c r="AN12" s="12"/>
    </row>
    <row r="13" spans="1:40" ht="26.4" x14ac:dyDescent="0.25">
      <c r="A13" s="8"/>
      <c r="B13" s="2">
        <v>2</v>
      </c>
      <c r="C13" s="3">
        <v>10667</v>
      </c>
      <c r="D13" s="5">
        <v>2.2499999999999999E-2</v>
      </c>
      <c r="E13" s="3">
        <v>20</v>
      </c>
      <c r="F13" s="4">
        <v>0.79</v>
      </c>
      <c r="G13" s="3">
        <v>8854</v>
      </c>
      <c r="H13" s="3">
        <v>422</v>
      </c>
      <c r="I13" s="3" t="s">
        <v>19</v>
      </c>
      <c r="J13" s="8"/>
      <c r="K13" s="2">
        <v>2</v>
      </c>
      <c r="L13" s="3">
        <v>9174</v>
      </c>
      <c r="M13" s="5">
        <v>2.2499999999999999E-2</v>
      </c>
      <c r="N13" s="3">
        <v>19</v>
      </c>
      <c r="O13" s="4">
        <v>0.79</v>
      </c>
      <c r="P13" s="3">
        <v>8234</v>
      </c>
      <c r="Q13" s="3">
        <v>1564</v>
      </c>
      <c r="R13" s="3" t="s">
        <v>20</v>
      </c>
      <c r="S13" s="8"/>
      <c r="T13" s="2">
        <v>2</v>
      </c>
      <c r="U13" s="3">
        <v>10642</v>
      </c>
      <c r="V13" s="5">
        <v>2.52E-2</v>
      </c>
      <c r="W13" s="3">
        <v>30</v>
      </c>
      <c r="X13" s="4">
        <v>0.91</v>
      </c>
      <c r="Y13" s="3">
        <v>9551</v>
      </c>
      <c r="Z13" s="3">
        <v>1439</v>
      </c>
      <c r="AA13" s="3" t="s">
        <v>22</v>
      </c>
      <c r="AB13" s="8"/>
      <c r="AC13" s="2">
        <v>2</v>
      </c>
      <c r="AD13" s="3">
        <v>12451</v>
      </c>
      <c r="AE13" s="5">
        <v>2.52E-2</v>
      </c>
      <c r="AF13" s="3">
        <v>33</v>
      </c>
      <c r="AG13" s="4">
        <v>0.79</v>
      </c>
      <c r="AH13" s="3">
        <v>9933</v>
      </c>
      <c r="AI13" s="3">
        <v>1482</v>
      </c>
      <c r="AJ13" s="3" t="s">
        <v>21</v>
      </c>
      <c r="AK13" s="8"/>
      <c r="AL13" s="12"/>
      <c r="AM13" s="12"/>
      <c r="AN13" s="12"/>
    </row>
    <row r="14" spans="1:40" ht="26.4" x14ac:dyDescent="0.25">
      <c r="A14" s="8"/>
      <c r="B14" s="2">
        <v>3</v>
      </c>
      <c r="C14" s="3">
        <v>8972</v>
      </c>
      <c r="D14" s="5">
        <v>0.01</v>
      </c>
      <c r="E14" s="3">
        <v>12</v>
      </c>
      <c r="F14" s="4">
        <v>0.8</v>
      </c>
      <c r="G14" s="3">
        <v>7178</v>
      </c>
      <c r="H14" s="3">
        <v>342</v>
      </c>
      <c r="I14" s="3" t="s">
        <v>19</v>
      </c>
      <c r="J14" s="8"/>
      <c r="K14" s="2">
        <v>3</v>
      </c>
      <c r="L14" s="3">
        <v>8165</v>
      </c>
      <c r="M14" s="5">
        <v>9.9000000000000008E-3</v>
      </c>
      <c r="N14" s="3">
        <v>11</v>
      </c>
      <c r="O14" s="4">
        <v>0.8</v>
      </c>
      <c r="P14" s="3">
        <v>6532</v>
      </c>
      <c r="Q14" s="3">
        <v>1110</v>
      </c>
      <c r="R14" s="3" t="s">
        <v>20</v>
      </c>
      <c r="S14" s="8"/>
      <c r="T14" s="2">
        <v>3</v>
      </c>
      <c r="U14" s="3">
        <v>12250</v>
      </c>
      <c r="V14" s="5">
        <v>1.0999999999999999E-2</v>
      </c>
      <c r="W14" s="3">
        <v>15</v>
      </c>
      <c r="X14" s="4">
        <v>0.8</v>
      </c>
      <c r="Y14" s="3">
        <v>7838</v>
      </c>
      <c r="Z14" s="3">
        <v>1232</v>
      </c>
      <c r="AA14" s="3" t="s">
        <v>22</v>
      </c>
      <c r="AB14" s="8"/>
      <c r="AC14" s="2">
        <v>3</v>
      </c>
      <c r="AD14" s="3">
        <v>14945</v>
      </c>
      <c r="AE14" s="5">
        <v>2.8000000000000001E-2</v>
      </c>
      <c r="AF14" s="3">
        <v>18</v>
      </c>
      <c r="AG14" s="4">
        <v>0.8</v>
      </c>
      <c r="AH14" s="3">
        <v>8073</v>
      </c>
      <c r="AI14" s="3">
        <v>1725</v>
      </c>
      <c r="AJ14" s="3" t="s">
        <v>21</v>
      </c>
      <c r="AK14" s="8"/>
      <c r="AL14" s="12"/>
      <c r="AM14" s="12"/>
      <c r="AN14" s="12"/>
    </row>
    <row r="15" spans="1:40" ht="26.4" x14ac:dyDescent="0.25">
      <c r="A15" s="8"/>
      <c r="B15" s="2">
        <v>4</v>
      </c>
      <c r="C15" s="3">
        <v>9958</v>
      </c>
      <c r="D15" s="5">
        <v>0.03</v>
      </c>
      <c r="E15" s="3">
        <v>12</v>
      </c>
      <c r="F15" s="4">
        <v>0.83</v>
      </c>
      <c r="G15" s="3">
        <v>7966</v>
      </c>
      <c r="H15" s="3">
        <v>469</v>
      </c>
      <c r="I15" s="3" t="s">
        <v>19</v>
      </c>
      <c r="J15" s="8"/>
      <c r="K15" s="2">
        <v>4</v>
      </c>
      <c r="L15" s="3">
        <v>9520</v>
      </c>
      <c r="M15" s="5">
        <v>3.1199999999999999E-2</v>
      </c>
      <c r="N15" s="3">
        <v>11</v>
      </c>
      <c r="O15" s="4">
        <v>0.83</v>
      </c>
      <c r="P15" s="3">
        <v>7090</v>
      </c>
      <c r="Q15" s="3">
        <v>1064</v>
      </c>
      <c r="R15" s="3" t="s">
        <v>20</v>
      </c>
      <c r="S15" s="8"/>
      <c r="T15" s="2">
        <v>4</v>
      </c>
      <c r="U15" s="3">
        <v>12090</v>
      </c>
      <c r="V15" s="5">
        <v>3.4599999999999999E-2</v>
      </c>
      <c r="W15" s="3">
        <v>14</v>
      </c>
      <c r="X15" s="4">
        <v>0.83</v>
      </c>
      <c r="Y15" s="3">
        <v>8224</v>
      </c>
      <c r="Z15" s="3">
        <v>1032</v>
      </c>
      <c r="AA15" s="3" t="s">
        <v>22</v>
      </c>
      <c r="AB15" s="8"/>
      <c r="AC15" s="2">
        <v>4</v>
      </c>
      <c r="AD15" s="3">
        <v>12695</v>
      </c>
      <c r="AE15" s="5">
        <v>3.4599999999999999E-2</v>
      </c>
      <c r="AF15" s="3">
        <v>14</v>
      </c>
      <c r="AG15" s="4">
        <v>0.83</v>
      </c>
      <c r="AH15" s="3">
        <v>8471</v>
      </c>
      <c r="AI15" s="3">
        <v>1362</v>
      </c>
      <c r="AJ15" s="3" t="s">
        <v>21</v>
      </c>
      <c r="AK15" s="8"/>
      <c r="AL15" s="12"/>
      <c r="AM15" s="12"/>
      <c r="AN15" s="12"/>
    </row>
    <row r="16" spans="1:40" ht="26.4" x14ac:dyDescent="0.25">
      <c r="A16" s="8"/>
      <c r="B16" s="2">
        <v>5</v>
      </c>
      <c r="C16" s="3">
        <v>9636</v>
      </c>
      <c r="D16" s="5">
        <v>2.2857142857142857E-2</v>
      </c>
      <c r="E16" s="3">
        <v>10</v>
      </c>
      <c r="F16" s="4">
        <v>0.88</v>
      </c>
      <c r="G16" s="3">
        <v>7805</v>
      </c>
      <c r="H16" s="3">
        <v>520</v>
      </c>
      <c r="I16" s="3" t="s">
        <v>19</v>
      </c>
      <c r="J16" s="8"/>
      <c r="K16" s="2">
        <v>5</v>
      </c>
      <c r="L16" s="3">
        <v>8672</v>
      </c>
      <c r="M16" s="5">
        <v>2.1700000000000001E-2</v>
      </c>
      <c r="N16" s="3">
        <v>10</v>
      </c>
      <c r="O16" s="4">
        <v>0.88</v>
      </c>
      <c r="P16" s="3">
        <v>7337</v>
      </c>
      <c r="Q16" s="3">
        <v>1101</v>
      </c>
      <c r="R16" s="3" t="s">
        <v>20</v>
      </c>
      <c r="S16" s="8"/>
      <c r="T16" s="2">
        <v>5</v>
      </c>
      <c r="U16" s="3">
        <v>10840</v>
      </c>
      <c r="V16" s="5">
        <v>2.41E-2</v>
      </c>
      <c r="W16" s="3">
        <v>12</v>
      </c>
      <c r="X16" s="4">
        <v>0.88</v>
      </c>
      <c r="Y16" s="3">
        <v>8951</v>
      </c>
      <c r="Z16" s="3">
        <v>1387</v>
      </c>
      <c r="AA16" s="3" t="s">
        <v>22</v>
      </c>
      <c r="AB16" s="8"/>
      <c r="AC16" s="2">
        <v>5</v>
      </c>
      <c r="AD16" s="3">
        <v>12032</v>
      </c>
      <c r="AE16" s="5">
        <v>2.41E-2</v>
      </c>
      <c r="AF16" s="3">
        <v>14</v>
      </c>
      <c r="AG16" s="4">
        <v>0.88</v>
      </c>
      <c r="AH16" s="3">
        <v>8593</v>
      </c>
      <c r="AI16" s="3">
        <v>1748</v>
      </c>
      <c r="AJ16" s="3" t="s">
        <v>21</v>
      </c>
      <c r="AK16" s="8"/>
      <c r="AL16" s="12"/>
      <c r="AM16" s="12"/>
      <c r="AN16" s="12"/>
    </row>
    <row r="17" spans="1:40" ht="26.4" x14ac:dyDescent="0.25">
      <c r="A17" s="8"/>
      <c r="B17" s="2">
        <v>6</v>
      </c>
      <c r="C17" s="3">
        <v>10054</v>
      </c>
      <c r="D17" s="5">
        <v>2.2499999999999999E-2</v>
      </c>
      <c r="E17" s="3">
        <v>23</v>
      </c>
      <c r="F17" s="4">
        <v>0.78</v>
      </c>
      <c r="G17" s="3">
        <v>8043</v>
      </c>
      <c r="H17" s="3">
        <v>447</v>
      </c>
      <c r="I17" s="3" t="s">
        <v>19</v>
      </c>
      <c r="J17" s="8"/>
      <c r="K17" s="2">
        <v>6</v>
      </c>
      <c r="L17" s="3">
        <v>9149</v>
      </c>
      <c r="M17" s="5">
        <v>0.02</v>
      </c>
      <c r="N17" s="3">
        <v>21</v>
      </c>
      <c r="O17" s="4">
        <v>0.78</v>
      </c>
      <c r="P17" s="3">
        <v>7078</v>
      </c>
      <c r="Q17" s="3">
        <v>849</v>
      </c>
      <c r="R17" s="3" t="s">
        <v>20</v>
      </c>
      <c r="S17" s="8"/>
      <c r="T17" s="2">
        <v>6</v>
      </c>
      <c r="U17" s="3">
        <v>11802</v>
      </c>
      <c r="V17" s="5">
        <v>2.1999999999999999E-2</v>
      </c>
      <c r="W17" s="3">
        <v>34</v>
      </c>
      <c r="X17" s="4">
        <v>0.78</v>
      </c>
      <c r="Y17" s="3">
        <v>7998</v>
      </c>
      <c r="Z17" s="3">
        <v>1044</v>
      </c>
      <c r="AA17" s="3" t="s">
        <v>22</v>
      </c>
      <c r="AB17" s="8"/>
      <c r="AC17" s="2">
        <v>6</v>
      </c>
      <c r="AD17" s="3">
        <v>14871</v>
      </c>
      <c r="AE17" s="5">
        <v>2.1999999999999999E-2</v>
      </c>
      <c r="AF17" s="3">
        <v>35</v>
      </c>
      <c r="AG17" s="4">
        <v>0.78</v>
      </c>
      <c r="AH17" s="3">
        <v>8078</v>
      </c>
      <c r="AI17" s="3">
        <v>1378</v>
      </c>
      <c r="AJ17" s="3" t="s">
        <v>21</v>
      </c>
      <c r="AK17" s="8"/>
      <c r="AL17" s="12"/>
      <c r="AM17" s="12"/>
      <c r="AN17" s="12"/>
    </row>
    <row r="18" spans="1:40" ht="26.4" x14ac:dyDescent="0.25">
      <c r="A18" s="8"/>
      <c r="B18" s="2">
        <v>7</v>
      </c>
      <c r="C18" s="3">
        <v>9386</v>
      </c>
      <c r="D18" s="5">
        <v>2.2499999999999999E-2</v>
      </c>
      <c r="E18" s="3">
        <v>11</v>
      </c>
      <c r="F18" s="4">
        <v>0.78</v>
      </c>
      <c r="G18" s="3">
        <v>7697</v>
      </c>
      <c r="H18" s="3">
        <v>385</v>
      </c>
      <c r="I18" s="3" t="s">
        <v>19</v>
      </c>
      <c r="J18" s="8"/>
      <c r="K18" s="2">
        <v>7</v>
      </c>
      <c r="L18" s="3">
        <v>8000</v>
      </c>
      <c r="M18" s="5">
        <v>2.18E-2</v>
      </c>
      <c r="N18" s="3">
        <v>12</v>
      </c>
      <c r="O18" s="4">
        <v>0.78</v>
      </c>
      <c r="P18" s="3">
        <v>7620</v>
      </c>
      <c r="Q18" s="3">
        <v>914</v>
      </c>
      <c r="R18" s="3" t="s">
        <v>20</v>
      </c>
      <c r="S18" s="8"/>
      <c r="T18" s="2">
        <v>7</v>
      </c>
      <c r="U18" s="3">
        <v>9120</v>
      </c>
      <c r="V18" s="5">
        <v>2.4400000000000002E-2</v>
      </c>
      <c r="W18" s="3">
        <v>18</v>
      </c>
      <c r="X18" s="4">
        <v>0.82</v>
      </c>
      <c r="Y18" s="3">
        <v>8077</v>
      </c>
      <c r="Z18" s="3">
        <v>1197</v>
      </c>
      <c r="AA18" s="3" t="s">
        <v>22</v>
      </c>
      <c r="AB18" s="8"/>
      <c r="AC18" s="2">
        <v>7</v>
      </c>
      <c r="AD18" s="3">
        <v>11400</v>
      </c>
      <c r="AE18" s="5">
        <v>2.4400000000000002E-2</v>
      </c>
      <c r="AF18" s="3">
        <v>21</v>
      </c>
      <c r="AG18" s="4">
        <v>0.82</v>
      </c>
      <c r="AH18" s="3">
        <v>7350</v>
      </c>
      <c r="AI18" s="3">
        <v>1424</v>
      </c>
      <c r="AJ18" s="3" t="s">
        <v>21</v>
      </c>
      <c r="AK18" s="8"/>
      <c r="AL18" s="12"/>
      <c r="AM18" s="12"/>
      <c r="AN18" s="12"/>
    </row>
    <row r="19" spans="1:40" ht="26.4" x14ac:dyDescent="0.25">
      <c r="A19" s="8"/>
      <c r="B19" s="2">
        <v>8</v>
      </c>
      <c r="C19" s="3">
        <v>10231</v>
      </c>
      <c r="D19" s="5">
        <v>1.714285714285714E-2</v>
      </c>
      <c r="E19" s="3">
        <v>11</v>
      </c>
      <c r="F19" s="4">
        <v>0.79</v>
      </c>
      <c r="G19" s="3">
        <v>8696</v>
      </c>
      <c r="H19" s="3">
        <v>458</v>
      </c>
      <c r="I19" s="3" t="s">
        <v>19</v>
      </c>
      <c r="J19" s="8"/>
      <c r="K19" s="2">
        <v>8</v>
      </c>
      <c r="L19" s="3">
        <v>8185</v>
      </c>
      <c r="M19" s="5">
        <v>1.8200000000000001E-2</v>
      </c>
      <c r="N19" s="3">
        <v>10</v>
      </c>
      <c r="O19" s="4">
        <v>0.79</v>
      </c>
      <c r="P19" s="3">
        <v>7739</v>
      </c>
      <c r="Q19" s="3">
        <v>851</v>
      </c>
      <c r="R19" s="3" t="s">
        <v>20</v>
      </c>
      <c r="S19" s="8"/>
      <c r="T19" s="2">
        <v>8</v>
      </c>
      <c r="U19" s="3">
        <v>14520</v>
      </c>
      <c r="V19" s="5">
        <v>2.0199999999999999E-2</v>
      </c>
      <c r="W19" s="3">
        <v>15</v>
      </c>
      <c r="X19" s="4">
        <v>0.79</v>
      </c>
      <c r="Y19" s="3">
        <v>8126</v>
      </c>
      <c r="Z19" s="3">
        <v>800</v>
      </c>
      <c r="AA19" s="3" t="s">
        <v>22</v>
      </c>
      <c r="AB19" s="8"/>
      <c r="AC19" s="2">
        <v>8</v>
      </c>
      <c r="AD19" s="3">
        <v>17714</v>
      </c>
      <c r="AE19" s="5">
        <v>2.0199999999999999E-2</v>
      </c>
      <c r="AF19" s="3">
        <v>16</v>
      </c>
      <c r="AG19" s="4">
        <v>0.79</v>
      </c>
      <c r="AH19" s="3">
        <v>8695</v>
      </c>
      <c r="AI19" s="3">
        <v>832</v>
      </c>
      <c r="AJ19" s="3" t="s">
        <v>21</v>
      </c>
      <c r="AK19" s="8"/>
      <c r="AL19" s="12"/>
      <c r="AM19" s="12"/>
      <c r="AN19" s="12"/>
    </row>
    <row r="20" spans="1:40" ht="26.4" x14ac:dyDescent="0.25">
      <c r="A20" s="8"/>
      <c r="B20" s="2">
        <v>9</v>
      </c>
      <c r="C20" s="3">
        <v>9921</v>
      </c>
      <c r="D20" s="5">
        <v>2.571428571428571E-2</v>
      </c>
      <c r="E20" s="3">
        <v>18</v>
      </c>
      <c r="F20" s="4">
        <v>0.78</v>
      </c>
      <c r="G20" s="3">
        <v>8433</v>
      </c>
      <c r="H20" s="3">
        <v>562</v>
      </c>
      <c r="I20" s="3" t="s">
        <v>19</v>
      </c>
      <c r="J20" s="8"/>
      <c r="K20" s="2">
        <v>9</v>
      </c>
      <c r="L20" s="3">
        <v>8532</v>
      </c>
      <c r="M20" s="5">
        <v>2.5700000000000001E-2</v>
      </c>
      <c r="N20" s="3">
        <v>17</v>
      </c>
      <c r="O20" s="4">
        <v>0.78</v>
      </c>
      <c r="P20" s="3">
        <v>7927</v>
      </c>
      <c r="Q20" s="3">
        <v>1110</v>
      </c>
      <c r="R20" s="3" t="s">
        <v>20</v>
      </c>
      <c r="S20" s="8"/>
      <c r="T20" s="2">
        <v>9</v>
      </c>
      <c r="U20" s="3">
        <v>10324</v>
      </c>
      <c r="V20" s="5">
        <v>2.8299999999999999E-2</v>
      </c>
      <c r="W20" s="3">
        <v>27</v>
      </c>
      <c r="X20" s="4">
        <v>0.92</v>
      </c>
      <c r="Y20" s="3">
        <v>8878</v>
      </c>
      <c r="Z20" s="3">
        <v>1421</v>
      </c>
      <c r="AA20" s="3" t="s">
        <v>22</v>
      </c>
      <c r="AB20" s="8"/>
      <c r="AC20" s="2">
        <v>9</v>
      </c>
      <c r="AD20" s="3">
        <v>12389</v>
      </c>
      <c r="AE20" s="5">
        <v>2.8299999999999999E-2</v>
      </c>
      <c r="AF20" s="3">
        <v>28</v>
      </c>
      <c r="AG20" s="4">
        <v>0.78</v>
      </c>
      <c r="AH20" s="3">
        <v>8345</v>
      </c>
      <c r="AI20" s="3">
        <v>1705</v>
      </c>
      <c r="AJ20" s="3" t="s">
        <v>21</v>
      </c>
      <c r="AK20" s="8"/>
      <c r="AL20" s="12"/>
      <c r="AM20" s="12"/>
      <c r="AN20" s="12"/>
    </row>
    <row r="21" spans="1:40" ht="26.4" x14ac:dyDescent="0.25">
      <c r="A21" s="8"/>
      <c r="B21" s="2">
        <v>10</v>
      </c>
      <c r="C21" s="3">
        <v>9000</v>
      </c>
      <c r="D21" s="5">
        <v>2.2857142857142857E-2</v>
      </c>
      <c r="E21" s="3">
        <v>15</v>
      </c>
      <c r="F21" s="4">
        <v>0.79</v>
      </c>
      <c r="G21" s="3">
        <v>7380</v>
      </c>
      <c r="H21" s="3">
        <v>388</v>
      </c>
      <c r="I21" s="3" t="s">
        <v>19</v>
      </c>
      <c r="J21" s="8"/>
      <c r="K21" s="2">
        <v>10</v>
      </c>
      <c r="L21" s="3">
        <v>8190</v>
      </c>
      <c r="M21" s="5">
        <v>2.0799999999999999E-2</v>
      </c>
      <c r="N21" s="3">
        <v>14</v>
      </c>
      <c r="O21" s="4">
        <v>0.85</v>
      </c>
      <c r="P21" s="3">
        <v>6790</v>
      </c>
      <c r="Q21" s="3">
        <v>815</v>
      </c>
      <c r="R21" s="3" t="s">
        <v>20</v>
      </c>
      <c r="S21" s="8"/>
      <c r="T21" s="2">
        <v>10</v>
      </c>
      <c r="U21" s="3">
        <v>13580</v>
      </c>
      <c r="V21" s="5">
        <v>2.3300000000000001E-2</v>
      </c>
      <c r="W21" s="3">
        <v>18</v>
      </c>
      <c r="X21" s="4">
        <v>0.79</v>
      </c>
      <c r="Y21" s="3">
        <v>7537</v>
      </c>
      <c r="Z21" s="3">
        <v>1000</v>
      </c>
      <c r="AA21" s="3" t="s">
        <v>22</v>
      </c>
      <c r="AB21" s="8"/>
      <c r="AC21" s="2">
        <v>10</v>
      </c>
      <c r="AD21" s="3">
        <v>17247</v>
      </c>
      <c r="AE21" s="5">
        <v>2.3300000000000001E-2</v>
      </c>
      <c r="AF21" s="3">
        <v>19</v>
      </c>
      <c r="AG21" s="4">
        <v>0.79</v>
      </c>
      <c r="AH21" s="3">
        <v>7688</v>
      </c>
      <c r="AI21" s="3">
        <v>1030</v>
      </c>
      <c r="AJ21" s="3" t="s">
        <v>21</v>
      </c>
      <c r="AK21" s="8"/>
      <c r="AL21" s="12"/>
      <c r="AM21" s="12"/>
      <c r="AN21" s="12"/>
    </row>
    <row r="22" spans="1:40" ht="26.4" x14ac:dyDescent="0.25">
      <c r="A22" s="8"/>
      <c r="B22" s="2">
        <v>11</v>
      </c>
      <c r="C22" s="3">
        <v>9413</v>
      </c>
      <c r="D22" s="5">
        <v>7.4999999999999997E-3</v>
      </c>
      <c r="E22" s="3">
        <v>24</v>
      </c>
      <c r="F22" s="4">
        <v>0.82</v>
      </c>
      <c r="G22" s="3">
        <v>7625</v>
      </c>
      <c r="H22" s="3">
        <v>449</v>
      </c>
      <c r="I22" s="3" t="s">
        <v>19</v>
      </c>
      <c r="J22" s="8"/>
      <c r="K22" s="2">
        <v>11</v>
      </c>
      <c r="L22" s="3">
        <v>7813</v>
      </c>
      <c r="M22" s="5">
        <v>7.4000000000000003E-3</v>
      </c>
      <c r="N22" s="3">
        <v>23</v>
      </c>
      <c r="O22" s="4">
        <v>0.82</v>
      </c>
      <c r="P22" s="3">
        <v>7320</v>
      </c>
      <c r="Q22" s="3">
        <v>1098</v>
      </c>
      <c r="R22" s="3" t="s">
        <v>20</v>
      </c>
      <c r="S22" s="8"/>
      <c r="T22" s="2">
        <v>11</v>
      </c>
      <c r="U22" s="3">
        <v>9923</v>
      </c>
      <c r="V22" s="5">
        <v>8.0999999999999996E-3</v>
      </c>
      <c r="W22" s="3">
        <v>35</v>
      </c>
      <c r="X22" s="4">
        <v>0.82</v>
      </c>
      <c r="Y22" s="3">
        <v>7832</v>
      </c>
      <c r="Z22" s="3">
        <v>1318</v>
      </c>
      <c r="AA22" s="3" t="s">
        <v>22</v>
      </c>
      <c r="AB22" s="8"/>
      <c r="AC22" s="2">
        <v>11</v>
      </c>
      <c r="AD22" s="3">
        <v>10419</v>
      </c>
      <c r="AE22" s="5">
        <v>2.1000000000000001E-2</v>
      </c>
      <c r="AF22" s="3">
        <v>35</v>
      </c>
      <c r="AG22" s="4">
        <v>0.82</v>
      </c>
      <c r="AH22" s="3">
        <v>8459</v>
      </c>
      <c r="AI22" s="3">
        <v>1582</v>
      </c>
      <c r="AJ22" s="3" t="s">
        <v>21</v>
      </c>
      <c r="AK22" s="8"/>
      <c r="AL22" s="12"/>
      <c r="AM22" s="12"/>
      <c r="AN22" s="12"/>
    </row>
    <row r="23" spans="1:40" ht="26.4" x14ac:dyDescent="0.25">
      <c r="A23" s="8"/>
      <c r="B23" s="2">
        <v>12</v>
      </c>
      <c r="C23" s="3">
        <v>10737</v>
      </c>
      <c r="D23" s="5">
        <v>2.1428571428571429E-2</v>
      </c>
      <c r="E23" s="3">
        <v>20</v>
      </c>
      <c r="F23" s="4">
        <v>0.8</v>
      </c>
      <c r="G23" s="3">
        <v>8697</v>
      </c>
      <c r="H23" s="3">
        <v>580</v>
      </c>
      <c r="I23" s="3" t="s">
        <v>19</v>
      </c>
      <c r="J23" s="8"/>
      <c r="K23" s="2">
        <v>12</v>
      </c>
      <c r="L23" s="3">
        <v>9341</v>
      </c>
      <c r="M23" s="5">
        <v>1.9900000000000001E-2</v>
      </c>
      <c r="N23" s="3">
        <v>21</v>
      </c>
      <c r="O23" s="4">
        <v>0.8</v>
      </c>
      <c r="P23" s="3">
        <v>8175</v>
      </c>
      <c r="Q23" s="3">
        <v>981</v>
      </c>
      <c r="R23" s="3" t="s">
        <v>20</v>
      </c>
      <c r="S23" s="8"/>
      <c r="T23" s="2">
        <v>12</v>
      </c>
      <c r="U23" s="3">
        <v>10742</v>
      </c>
      <c r="V23" s="5">
        <v>2.2100000000000002E-2</v>
      </c>
      <c r="W23" s="3">
        <v>33</v>
      </c>
      <c r="X23" s="4">
        <v>0.8</v>
      </c>
      <c r="Y23" s="3">
        <v>9974</v>
      </c>
      <c r="Z23" s="3">
        <v>1177</v>
      </c>
      <c r="AA23" s="3" t="s">
        <v>22</v>
      </c>
      <c r="AB23" s="8"/>
      <c r="AC23" s="2">
        <v>12</v>
      </c>
      <c r="AD23" s="3">
        <v>12246</v>
      </c>
      <c r="AE23" s="5">
        <v>2.2100000000000002E-2</v>
      </c>
      <c r="AF23" s="3">
        <v>36</v>
      </c>
      <c r="AG23" s="4">
        <v>0.8</v>
      </c>
      <c r="AH23" s="3">
        <v>9974</v>
      </c>
      <c r="AI23" s="3">
        <v>1542</v>
      </c>
      <c r="AJ23" s="3" t="s">
        <v>21</v>
      </c>
      <c r="AK23" s="8"/>
      <c r="AL23" s="12"/>
      <c r="AM23" s="31"/>
      <c r="AN23" s="31"/>
    </row>
    <row r="24" spans="1:40" ht="26.4" x14ac:dyDescent="0.25">
      <c r="A24" s="8"/>
      <c r="B24" s="2">
        <v>13</v>
      </c>
      <c r="C24" s="3">
        <v>10889</v>
      </c>
      <c r="D24" s="5">
        <v>2.571428571428571E-2</v>
      </c>
      <c r="E24" s="3">
        <v>16</v>
      </c>
      <c r="F24" s="4">
        <v>0.85</v>
      </c>
      <c r="G24" s="3">
        <v>9038</v>
      </c>
      <c r="H24" s="3">
        <v>452</v>
      </c>
      <c r="I24" s="3" t="s">
        <v>19</v>
      </c>
      <c r="J24" s="8"/>
      <c r="K24" s="2">
        <v>13</v>
      </c>
      <c r="L24" s="3">
        <v>8711</v>
      </c>
      <c r="M24" s="5">
        <v>2.52E-2</v>
      </c>
      <c r="N24" s="3">
        <v>15</v>
      </c>
      <c r="O24" s="4">
        <v>0.85</v>
      </c>
      <c r="P24" s="3">
        <v>9219</v>
      </c>
      <c r="Q24" s="3">
        <v>1659</v>
      </c>
      <c r="R24" s="3" t="s">
        <v>20</v>
      </c>
      <c r="S24" s="8"/>
      <c r="T24" s="2">
        <v>13</v>
      </c>
      <c r="U24" s="3">
        <v>11150</v>
      </c>
      <c r="V24" s="5">
        <v>2.8199999999999999E-2</v>
      </c>
      <c r="W24" s="3">
        <v>24</v>
      </c>
      <c r="X24" s="4">
        <v>0.85</v>
      </c>
      <c r="Y24" s="3">
        <v>11155</v>
      </c>
      <c r="Z24" s="3">
        <v>1576</v>
      </c>
      <c r="AA24" s="3" t="s">
        <v>22</v>
      </c>
      <c r="AB24" s="8"/>
      <c r="AC24" s="2">
        <v>13</v>
      </c>
      <c r="AD24" s="3">
        <v>13380</v>
      </c>
      <c r="AE24" s="5">
        <v>2.8199999999999999E-2</v>
      </c>
      <c r="AF24" s="3">
        <v>25</v>
      </c>
      <c r="AG24" s="4">
        <v>0.85</v>
      </c>
      <c r="AH24" s="3">
        <v>10597</v>
      </c>
      <c r="AI24" s="3">
        <v>1608</v>
      </c>
      <c r="AJ24" s="3" t="s">
        <v>21</v>
      </c>
      <c r="AK24" s="8"/>
      <c r="AL24" s="12"/>
      <c r="AM24" s="31"/>
      <c r="AN24" s="31"/>
    </row>
    <row r="25" spans="1:40" ht="26.4" x14ac:dyDescent="0.25">
      <c r="A25" s="8"/>
      <c r="B25" s="2">
        <v>14</v>
      </c>
      <c r="C25" s="3">
        <v>10845</v>
      </c>
      <c r="D25" s="5">
        <v>3.428571428571428E-2</v>
      </c>
      <c r="E25" s="3">
        <v>23</v>
      </c>
      <c r="F25" s="4">
        <v>0.86</v>
      </c>
      <c r="G25" s="3">
        <v>8893</v>
      </c>
      <c r="H25" s="3">
        <v>445</v>
      </c>
      <c r="I25" s="3" t="s">
        <v>19</v>
      </c>
      <c r="J25" s="8"/>
      <c r="K25" s="2">
        <v>14</v>
      </c>
      <c r="L25" s="3">
        <v>9544</v>
      </c>
      <c r="M25" s="5">
        <v>3.0499999999999999E-2</v>
      </c>
      <c r="N25" s="3">
        <v>22</v>
      </c>
      <c r="O25" s="4">
        <v>0.91</v>
      </c>
      <c r="P25" s="3">
        <v>7025</v>
      </c>
      <c r="Q25" s="3">
        <v>984</v>
      </c>
      <c r="R25" s="3" t="s">
        <v>20</v>
      </c>
      <c r="S25" s="8"/>
      <c r="T25" s="2">
        <v>14</v>
      </c>
      <c r="U25" s="3">
        <v>11453</v>
      </c>
      <c r="V25" s="5">
        <v>3.39E-2</v>
      </c>
      <c r="W25" s="3">
        <v>26</v>
      </c>
      <c r="X25" s="4">
        <v>0.88</v>
      </c>
      <c r="Y25" s="3">
        <v>7306</v>
      </c>
      <c r="Z25" s="3">
        <v>1191</v>
      </c>
      <c r="AA25" s="3" t="s">
        <v>22</v>
      </c>
      <c r="AB25" s="8"/>
      <c r="AC25" s="2">
        <v>14</v>
      </c>
      <c r="AD25" s="3">
        <v>14774</v>
      </c>
      <c r="AE25" s="5">
        <v>3.39E-2</v>
      </c>
      <c r="AF25" s="3">
        <v>31</v>
      </c>
      <c r="AG25" s="4">
        <v>0.88</v>
      </c>
      <c r="AH25" s="3">
        <v>6722</v>
      </c>
      <c r="AI25" s="3">
        <v>1167</v>
      </c>
      <c r="AJ25" s="3" t="s">
        <v>21</v>
      </c>
      <c r="AK25" s="8"/>
      <c r="AL25" s="12"/>
      <c r="AM25" s="31"/>
      <c r="AN25" s="31"/>
    </row>
    <row r="26" spans="1:40" ht="26.4" x14ac:dyDescent="0.25">
      <c r="A26" s="8"/>
      <c r="B26" s="2">
        <v>15</v>
      </c>
      <c r="C26" s="3">
        <v>8995</v>
      </c>
      <c r="D26" s="5">
        <v>1.714285714285714E-2</v>
      </c>
      <c r="E26" s="3">
        <v>10</v>
      </c>
      <c r="F26" s="4">
        <v>0.87</v>
      </c>
      <c r="G26" s="3">
        <v>7196</v>
      </c>
      <c r="H26" s="3">
        <v>379</v>
      </c>
      <c r="I26" s="3" t="s">
        <v>19</v>
      </c>
      <c r="J26" s="8"/>
      <c r="K26" s="2">
        <v>15</v>
      </c>
      <c r="L26" s="3">
        <v>7466</v>
      </c>
      <c r="M26" s="5">
        <v>1.6299999999999999E-2</v>
      </c>
      <c r="N26" s="3">
        <v>11</v>
      </c>
      <c r="O26" s="4">
        <v>0.87</v>
      </c>
      <c r="P26" s="3">
        <v>5613</v>
      </c>
      <c r="Q26" s="3">
        <v>1010</v>
      </c>
      <c r="R26" s="3" t="s">
        <v>20</v>
      </c>
      <c r="S26" s="8"/>
      <c r="T26" s="2">
        <v>15</v>
      </c>
      <c r="U26" s="3">
        <v>8437</v>
      </c>
      <c r="V26" s="5">
        <v>1.7899999999999999E-2</v>
      </c>
      <c r="W26" s="3">
        <v>17</v>
      </c>
      <c r="X26" s="4">
        <v>0.87</v>
      </c>
      <c r="Y26" s="3">
        <v>6455</v>
      </c>
      <c r="Z26" s="3">
        <v>1212</v>
      </c>
      <c r="AA26" s="3" t="s">
        <v>22</v>
      </c>
      <c r="AB26" s="8"/>
      <c r="AC26" s="2">
        <v>15</v>
      </c>
      <c r="AD26" s="3">
        <v>10520</v>
      </c>
      <c r="AE26" s="5">
        <v>3.5999999999999997E-2</v>
      </c>
      <c r="AF26" s="3">
        <v>18</v>
      </c>
      <c r="AG26" s="4">
        <v>0.87</v>
      </c>
      <c r="AH26" s="3">
        <v>6455</v>
      </c>
      <c r="AI26" s="3">
        <v>1418</v>
      </c>
      <c r="AJ26" s="3" t="s">
        <v>21</v>
      </c>
      <c r="AK26" s="8"/>
      <c r="AL26" s="12"/>
      <c r="AM26" s="12"/>
      <c r="AN26" s="12"/>
    </row>
    <row r="27" spans="1:40" ht="26.4" x14ac:dyDescent="0.25">
      <c r="A27" s="8"/>
      <c r="B27" s="2">
        <v>16</v>
      </c>
      <c r="C27" s="3">
        <v>8781</v>
      </c>
      <c r="D27" s="5">
        <v>2.571428571428571E-2</v>
      </c>
      <c r="E27" s="3">
        <v>24</v>
      </c>
      <c r="F27" s="4">
        <v>0.78</v>
      </c>
      <c r="G27" s="3">
        <v>7113</v>
      </c>
      <c r="H27" s="3">
        <v>374</v>
      </c>
      <c r="I27" s="3" t="s">
        <v>19</v>
      </c>
      <c r="J27" s="8"/>
      <c r="K27" s="2">
        <v>16</v>
      </c>
      <c r="L27" s="3">
        <v>7464</v>
      </c>
      <c r="M27" s="5">
        <v>2.29E-2</v>
      </c>
      <c r="N27" s="3">
        <v>25</v>
      </c>
      <c r="O27" s="4">
        <v>0.81</v>
      </c>
      <c r="P27" s="3">
        <v>6971</v>
      </c>
      <c r="Q27" s="3">
        <v>837</v>
      </c>
      <c r="R27" s="3" t="s">
        <v>20</v>
      </c>
      <c r="S27" s="8"/>
      <c r="T27" s="2">
        <v>16</v>
      </c>
      <c r="U27" s="3">
        <v>10226</v>
      </c>
      <c r="V27" s="5">
        <v>2.52E-2</v>
      </c>
      <c r="W27" s="3">
        <v>37</v>
      </c>
      <c r="X27" s="4">
        <v>0.78</v>
      </c>
      <c r="Y27" s="3">
        <v>7529</v>
      </c>
      <c r="Z27" s="3">
        <v>1096</v>
      </c>
      <c r="AA27" s="3" t="s">
        <v>22</v>
      </c>
      <c r="AB27" s="8"/>
      <c r="AC27" s="2">
        <v>16</v>
      </c>
      <c r="AD27" s="3">
        <v>13498</v>
      </c>
      <c r="AE27" s="5">
        <v>2.52E-2</v>
      </c>
      <c r="AF27" s="3">
        <v>37</v>
      </c>
      <c r="AG27" s="4">
        <v>0.78</v>
      </c>
      <c r="AH27" s="3">
        <v>6776</v>
      </c>
      <c r="AI27" s="3">
        <v>1260</v>
      </c>
      <c r="AJ27" s="3" t="s">
        <v>21</v>
      </c>
      <c r="AK27" s="8"/>
      <c r="AL27" s="12"/>
      <c r="AM27" s="12"/>
      <c r="AN27" s="12"/>
    </row>
    <row r="28" spans="1:40" ht="26.4" x14ac:dyDescent="0.25">
      <c r="A28" s="8"/>
      <c r="B28" s="2">
        <v>17</v>
      </c>
      <c r="C28" s="3">
        <v>10117</v>
      </c>
      <c r="D28" s="5">
        <v>1.714285714285714E-2</v>
      </c>
      <c r="E28" s="3">
        <v>25</v>
      </c>
      <c r="F28" s="4">
        <v>0.86</v>
      </c>
      <c r="G28" s="3">
        <v>8296</v>
      </c>
      <c r="H28" s="3">
        <v>461</v>
      </c>
      <c r="I28" s="3" t="s">
        <v>19</v>
      </c>
      <c r="J28" s="8"/>
      <c r="K28" s="2">
        <v>17</v>
      </c>
      <c r="L28" s="3">
        <v>9308</v>
      </c>
      <c r="M28" s="5">
        <v>1.5900000000000001E-2</v>
      </c>
      <c r="N28" s="3">
        <v>26</v>
      </c>
      <c r="O28" s="4">
        <v>0.86</v>
      </c>
      <c r="P28" s="3">
        <v>6803</v>
      </c>
      <c r="Q28" s="3">
        <v>1225</v>
      </c>
      <c r="R28" s="3" t="s">
        <v>20</v>
      </c>
      <c r="S28" s="8"/>
      <c r="T28" s="2">
        <v>17</v>
      </c>
      <c r="U28" s="3">
        <v>10704</v>
      </c>
      <c r="V28" s="5">
        <v>1.7600000000000001E-2</v>
      </c>
      <c r="W28" s="3">
        <v>36</v>
      </c>
      <c r="X28" s="4">
        <v>0.86</v>
      </c>
      <c r="Y28" s="3">
        <v>8028</v>
      </c>
      <c r="Z28" s="3">
        <v>1335</v>
      </c>
      <c r="AA28" s="3" t="s">
        <v>22</v>
      </c>
      <c r="AB28" s="8"/>
      <c r="AC28" s="2">
        <v>17</v>
      </c>
      <c r="AD28" s="3">
        <v>13808</v>
      </c>
      <c r="AE28" s="5">
        <v>1.7600000000000001E-2</v>
      </c>
      <c r="AF28" s="3">
        <v>39</v>
      </c>
      <c r="AG28" s="4">
        <v>0.86</v>
      </c>
      <c r="AH28" s="3">
        <v>7305</v>
      </c>
      <c r="AI28" s="3">
        <v>1522</v>
      </c>
      <c r="AJ28" s="3" t="s">
        <v>21</v>
      </c>
      <c r="AK28" s="8"/>
      <c r="AL28" s="12"/>
      <c r="AM28" s="12"/>
      <c r="AN28" s="12"/>
    </row>
    <row r="29" spans="1:40" ht="26.4" x14ac:dyDescent="0.25">
      <c r="A29" s="8"/>
      <c r="B29" s="2">
        <v>18</v>
      </c>
      <c r="C29" s="3">
        <v>9514</v>
      </c>
      <c r="D29" s="5">
        <v>1.2857142857142855E-2</v>
      </c>
      <c r="E29" s="3">
        <v>12</v>
      </c>
      <c r="F29" s="4">
        <v>0.85</v>
      </c>
      <c r="G29" s="3">
        <v>7706</v>
      </c>
      <c r="H29" s="3">
        <v>428</v>
      </c>
      <c r="I29" s="3" t="s">
        <v>19</v>
      </c>
      <c r="J29" s="8"/>
      <c r="K29" s="2">
        <v>18</v>
      </c>
      <c r="L29" s="3">
        <v>8372</v>
      </c>
      <c r="M29" s="5">
        <v>1.18E-2</v>
      </c>
      <c r="N29" s="3">
        <v>11</v>
      </c>
      <c r="O29" s="4">
        <v>0.85</v>
      </c>
      <c r="P29" s="3">
        <v>6011</v>
      </c>
      <c r="Q29" s="3">
        <v>1022</v>
      </c>
      <c r="R29" s="3" t="s">
        <v>20</v>
      </c>
      <c r="S29" s="8"/>
      <c r="T29" s="2">
        <v>18</v>
      </c>
      <c r="U29" s="3">
        <v>10381</v>
      </c>
      <c r="V29" s="5">
        <v>1.2999999999999999E-2</v>
      </c>
      <c r="W29" s="3">
        <v>15</v>
      </c>
      <c r="X29" s="4">
        <v>0.85</v>
      </c>
      <c r="Y29" s="3">
        <v>6312</v>
      </c>
      <c r="Z29" s="3">
        <v>1022</v>
      </c>
      <c r="AA29" s="3" t="s">
        <v>22</v>
      </c>
      <c r="AB29" s="8"/>
      <c r="AC29" s="2">
        <v>18</v>
      </c>
      <c r="AD29" s="3">
        <v>11419</v>
      </c>
      <c r="AE29" s="5">
        <v>0.03</v>
      </c>
      <c r="AF29" s="3">
        <v>15</v>
      </c>
      <c r="AG29" s="4">
        <v>0.85</v>
      </c>
      <c r="AH29" s="3">
        <v>6249</v>
      </c>
      <c r="AI29" s="3">
        <v>1134</v>
      </c>
      <c r="AJ29" s="3" t="s">
        <v>21</v>
      </c>
      <c r="AK29" s="8"/>
      <c r="AL29" s="12"/>
      <c r="AM29" s="12"/>
      <c r="AN29" s="12"/>
    </row>
    <row r="30" spans="1:40" ht="26.4" x14ac:dyDescent="0.25">
      <c r="A30" s="8"/>
      <c r="B30" s="2">
        <v>19</v>
      </c>
      <c r="C30" s="3">
        <v>9714</v>
      </c>
      <c r="D30" s="5">
        <v>3.5714285714285719E-2</v>
      </c>
      <c r="E30" s="3">
        <v>17</v>
      </c>
      <c r="F30" s="4">
        <v>0.87</v>
      </c>
      <c r="G30" s="3">
        <v>8160</v>
      </c>
      <c r="H30" s="3">
        <v>480</v>
      </c>
      <c r="I30" s="3" t="s">
        <v>19</v>
      </c>
      <c r="J30" s="8"/>
      <c r="K30" s="2">
        <v>19</v>
      </c>
      <c r="L30" s="3">
        <v>8645</v>
      </c>
      <c r="M30" s="5">
        <v>3.1800000000000002E-2</v>
      </c>
      <c r="N30" s="3">
        <v>16</v>
      </c>
      <c r="O30" s="4">
        <v>0.87</v>
      </c>
      <c r="P30" s="3">
        <v>7670</v>
      </c>
      <c r="Q30" s="3">
        <v>920</v>
      </c>
      <c r="R30" s="3" t="s">
        <v>20</v>
      </c>
      <c r="S30" s="8"/>
      <c r="T30" s="2">
        <v>19</v>
      </c>
      <c r="U30" s="3">
        <v>11930</v>
      </c>
      <c r="V30" s="5">
        <v>3.5299999999999998E-2</v>
      </c>
      <c r="W30" s="3">
        <v>22</v>
      </c>
      <c r="X30" s="4">
        <v>0.87</v>
      </c>
      <c r="Y30" s="3">
        <v>8514</v>
      </c>
      <c r="Z30" s="3">
        <v>1205</v>
      </c>
      <c r="AA30" s="3" t="s">
        <v>22</v>
      </c>
      <c r="AB30" s="8"/>
      <c r="AC30" s="2">
        <v>19</v>
      </c>
      <c r="AD30" s="3">
        <v>13720</v>
      </c>
      <c r="AE30" s="5">
        <v>3.5299999999999998E-2</v>
      </c>
      <c r="AF30" s="3">
        <v>22</v>
      </c>
      <c r="AG30" s="4">
        <v>0.87</v>
      </c>
      <c r="AH30" s="3">
        <v>8344</v>
      </c>
      <c r="AI30" s="3">
        <v>1687</v>
      </c>
      <c r="AJ30" s="3" t="s">
        <v>21</v>
      </c>
      <c r="AK30" s="8"/>
      <c r="AL30" s="12"/>
      <c r="AM30" s="12"/>
      <c r="AN30" s="12"/>
    </row>
    <row r="31" spans="1:40" ht="26.4" x14ac:dyDescent="0.25">
      <c r="A31" s="8"/>
      <c r="B31" s="2">
        <v>20</v>
      </c>
      <c r="C31" s="3">
        <v>9973</v>
      </c>
      <c r="D31" s="5">
        <v>0.03</v>
      </c>
      <c r="E31" s="3">
        <v>23</v>
      </c>
      <c r="F31" s="4">
        <v>0.78</v>
      </c>
      <c r="G31" s="3">
        <v>8477</v>
      </c>
      <c r="H31" s="3">
        <v>471</v>
      </c>
      <c r="I31" s="3" t="s">
        <v>19</v>
      </c>
      <c r="J31" s="8"/>
      <c r="K31" s="2">
        <v>20</v>
      </c>
      <c r="L31" s="3">
        <v>9000</v>
      </c>
      <c r="M31" s="5">
        <v>2.8199999999999999E-2</v>
      </c>
      <c r="N31" s="3">
        <v>22</v>
      </c>
      <c r="O31" s="4">
        <v>0.78</v>
      </c>
      <c r="P31" s="3">
        <v>7205</v>
      </c>
      <c r="Q31" s="3">
        <v>1153</v>
      </c>
      <c r="R31" s="3" t="s">
        <v>20</v>
      </c>
      <c r="S31" s="8"/>
      <c r="T31" s="2">
        <v>20</v>
      </c>
      <c r="U31" s="3">
        <v>12510</v>
      </c>
      <c r="V31" s="5">
        <v>3.1300000000000001E-2</v>
      </c>
      <c r="W31" s="3">
        <v>29</v>
      </c>
      <c r="X31" s="4">
        <v>0.78</v>
      </c>
      <c r="Y31" s="3">
        <v>7637</v>
      </c>
      <c r="Z31" s="3">
        <v>1211</v>
      </c>
      <c r="AA31" s="3" t="s">
        <v>22</v>
      </c>
      <c r="AB31" s="8"/>
      <c r="AC31" s="2">
        <v>20</v>
      </c>
      <c r="AD31" s="3">
        <v>15638</v>
      </c>
      <c r="AE31" s="5">
        <v>3.1300000000000001E-2</v>
      </c>
      <c r="AF31" s="3">
        <v>35</v>
      </c>
      <c r="AG31" s="4">
        <v>0.78</v>
      </c>
      <c r="AH31" s="3">
        <v>7408</v>
      </c>
      <c r="AI31" s="3">
        <v>1272</v>
      </c>
      <c r="AJ31" s="3" t="s">
        <v>21</v>
      </c>
      <c r="AK31" s="8"/>
      <c r="AL31" s="12"/>
      <c r="AM31" s="12"/>
      <c r="AN31" s="12"/>
    </row>
    <row r="32" spans="1:40" ht="26.4" x14ac:dyDescent="0.25">
      <c r="A32" s="8"/>
      <c r="B32" s="2">
        <v>21</v>
      </c>
      <c r="C32" s="3">
        <v>8518</v>
      </c>
      <c r="D32" s="5">
        <v>1.4999999999999999E-2</v>
      </c>
      <c r="E32" s="3">
        <v>8</v>
      </c>
      <c r="F32" s="4">
        <v>0.88</v>
      </c>
      <c r="G32" s="3">
        <v>7240</v>
      </c>
      <c r="H32" s="3">
        <v>381</v>
      </c>
      <c r="I32" s="3" t="s">
        <v>19</v>
      </c>
      <c r="J32" s="8"/>
      <c r="K32" s="2">
        <v>21</v>
      </c>
      <c r="L32" s="3">
        <v>7837</v>
      </c>
      <c r="M32" s="5">
        <v>1.55E-2</v>
      </c>
      <c r="N32" s="3">
        <v>7</v>
      </c>
      <c r="O32" s="4">
        <v>0.88</v>
      </c>
      <c r="P32" s="3">
        <v>6299</v>
      </c>
      <c r="Q32" s="3">
        <v>756</v>
      </c>
      <c r="R32" s="3" t="s">
        <v>20</v>
      </c>
      <c r="S32" s="8"/>
      <c r="T32" s="2">
        <v>21</v>
      </c>
      <c r="U32" s="3">
        <v>10815</v>
      </c>
      <c r="V32" s="5">
        <v>1.7399999999999999E-2</v>
      </c>
      <c r="W32" s="3">
        <v>10</v>
      </c>
      <c r="X32" s="4">
        <v>0.86</v>
      </c>
      <c r="Y32" s="3">
        <v>7244</v>
      </c>
      <c r="Z32" s="3">
        <v>1052</v>
      </c>
      <c r="AA32" s="3" t="s">
        <v>22</v>
      </c>
      <c r="AB32" s="8"/>
      <c r="AC32" s="2">
        <v>21</v>
      </c>
      <c r="AD32" s="3">
        <v>11572</v>
      </c>
      <c r="AE32" s="5">
        <v>1.7399999999999999E-2</v>
      </c>
      <c r="AF32" s="3">
        <v>12</v>
      </c>
      <c r="AG32" s="4">
        <v>0.86</v>
      </c>
      <c r="AH32" s="3">
        <v>6592</v>
      </c>
      <c r="AI32" s="3">
        <v>1252</v>
      </c>
      <c r="AJ32" s="3" t="s">
        <v>21</v>
      </c>
      <c r="AK32" s="8"/>
      <c r="AL32" s="12"/>
      <c r="AM32" s="12"/>
      <c r="AN32" s="12"/>
    </row>
    <row r="33" spans="1:40" ht="26.4" x14ac:dyDescent="0.25">
      <c r="A33" s="8"/>
      <c r="B33" s="2">
        <v>22</v>
      </c>
      <c r="C33" s="3">
        <v>10499</v>
      </c>
      <c r="D33" s="5">
        <v>4.2857142857142858E-2</v>
      </c>
      <c r="E33" s="3">
        <v>14</v>
      </c>
      <c r="F33" s="4">
        <v>0.81</v>
      </c>
      <c r="G33" s="3">
        <v>8399</v>
      </c>
      <c r="H33" s="3">
        <v>494</v>
      </c>
      <c r="I33" s="3" t="s">
        <v>19</v>
      </c>
      <c r="J33" s="8"/>
      <c r="K33" s="2">
        <v>22</v>
      </c>
      <c r="L33" s="3">
        <v>8609</v>
      </c>
      <c r="M33" s="5">
        <v>3.8600000000000002E-2</v>
      </c>
      <c r="N33" s="3">
        <v>13</v>
      </c>
      <c r="O33" s="4">
        <v>0.81</v>
      </c>
      <c r="P33" s="3">
        <v>6971</v>
      </c>
      <c r="Q33" s="3">
        <v>837</v>
      </c>
      <c r="R33" s="3" t="s">
        <v>20</v>
      </c>
      <c r="S33" s="8"/>
      <c r="T33" s="2">
        <v>22</v>
      </c>
      <c r="U33" s="3">
        <v>11020</v>
      </c>
      <c r="V33" s="5">
        <v>4.2799999999999998E-2</v>
      </c>
      <c r="W33" s="3">
        <v>18</v>
      </c>
      <c r="X33" s="4">
        <v>0.81</v>
      </c>
      <c r="Y33" s="3">
        <v>7598</v>
      </c>
      <c r="Z33" s="3">
        <v>1063</v>
      </c>
      <c r="AA33" s="3" t="s">
        <v>22</v>
      </c>
      <c r="AB33" s="8"/>
      <c r="AC33" s="2">
        <v>22</v>
      </c>
      <c r="AD33" s="3">
        <v>13224</v>
      </c>
      <c r="AE33" s="5">
        <v>4.2799999999999998E-2</v>
      </c>
      <c r="AF33" s="3">
        <v>19</v>
      </c>
      <c r="AG33" s="4">
        <v>0.81</v>
      </c>
      <c r="AH33" s="3">
        <v>7294</v>
      </c>
      <c r="AI33" s="3">
        <v>1212</v>
      </c>
      <c r="AJ33" s="3" t="s">
        <v>21</v>
      </c>
      <c r="AK33" s="8"/>
      <c r="AL33" s="12"/>
      <c r="AM33" s="12"/>
      <c r="AN33" s="12"/>
    </row>
    <row r="34" spans="1:40" ht="26.4" x14ac:dyDescent="0.25">
      <c r="A34" s="8"/>
      <c r="B34" s="2">
        <v>23</v>
      </c>
      <c r="C34" s="3">
        <v>9221</v>
      </c>
      <c r="D34" s="5">
        <v>1.4999999999999999E-2</v>
      </c>
      <c r="E34" s="3">
        <v>24</v>
      </c>
      <c r="F34" s="4">
        <v>0.79</v>
      </c>
      <c r="G34" s="3">
        <v>7561</v>
      </c>
      <c r="H34" s="3">
        <v>398</v>
      </c>
      <c r="I34" s="3" t="s">
        <v>19</v>
      </c>
      <c r="J34" s="8"/>
      <c r="K34" s="2">
        <v>23</v>
      </c>
      <c r="L34" s="3">
        <v>8483</v>
      </c>
      <c r="M34" s="5">
        <v>1.46E-2</v>
      </c>
      <c r="N34" s="3">
        <v>23</v>
      </c>
      <c r="O34" s="4">
        <v>0.79</v>
      </c>
      <c r="P34" s="3">
        <v>6049</v>
      </c>
      <c r="Q34" s="3">
        <v>665</v>
      </c>
      <c r="R34" s="3" t="s">
        <v>20</v>
      </c>
      <c r="S34" s="8"/>
      <c r="T34" s="2">
        <v>23</v>
      </c>
      <c r="U34" s="3">
        <v>10264</v>
      </c>
      <c r="V34" s="5">
        <v>1.6199999999999999E-2</v>
      </c>
      <c r="W34" s="3">
        <v>32</v>
      </c>
      <c r="X34" s="4">
        <v>0.79</v>
      </c>
      <c r="Y34" s="3">
        <v>6896</v>
      </c>
      <c r="Z34" s="3">
        <v>685</v>
      </c>
      <c r="AA34" s="3" t="s">
        <v>22</v>
      </c>
      <c r="AB34" s="8"/>
      <c r="AC34" s="2">
        <v>23</v>
      </c>
      <c r="AD34" s="3">
        <v>11598</v>
      </c>
      <c r="AE34" s="5">
        <v>2.5000000000000001E-2</v>
      </c>
      <c r="AF34" s="3">
        <v>39</v>
      </c>
      <c r="AG34" s="4">
        <v>0.79</v>
      </c>
      <c r="AH34" s="3">
        <v>7172</v>
      </c>
      <c r="AI34" s="3">
        <v>884</v>
      </c>
      <c r="AJ34" s="3" t="s">
        <v>21</v>
      </c>
      <c r="AK34" s="8"/>
      <c r="AL34" s="12"/>
      <c r="AM34" s="12"/>
      <c r="AN34" s="12"/>
    </row>
    <row r="35" spans="1:40" ht="26.4" x14ac:dyDescent="0.25">
      <c r="A35" s="8"/>
      <c r="B35" s="2">
        <v>24</v>
      </c>
      <c r="C35" s="3">
        <v>10547</v>
      </c>
      <c r="D35" s="5">
        <v>3.428571428571428E-2</v>
      </c>
      <c r="E35" s="3">
        <v>19</v>
      </c>
      <c r="F35" s="4">
        <v>0.83</v>
      </c>
      <c r="G35" s="3">
        <v>8543</v>
      </c>
      <c r="H35" s="3">
        <v>450</v>
      </c>
      <c r="I35" s="3" t="s">
        <v>19</v>
      </c>
      <c r="J35" s="8"/>
      <c r="K35" s="2">
        <v>24</v>
      </c>
      <c r="L35" s="3">
        <v>9387</v>
      </c>
      <c r="M35" s="5">
        <v>3.1899999999999998E-2</v>
      </c>
      <c r="N35" s="3">
        <v>20</v>
      </c>
      <c r="O35" s="4">
        <v>0.83</v>
      </c>
      <c r="P35" s="3">
        <v>7860</v>
      </c>
      <c r="Q35" s="3">
        <v>1415</v>
      </c>
      <c r="R35" s="3" t="s">
        <v>20</v>
      </c>
      <c r="S35" s="8"/>
      <c r="T35" s="2">
        <v>24</v>
      </c>
      <c r="U35" s="3">
        <v>14445</v>
      </c>
      <c r="V35" s="5">
        <v>3.5099999999999999E-2</v>
      </c>
      <c r="W35" s="3">
        <v>24</v>
      </c>
      <c r="X35" s="4">
        <v>0.83</v>
      </c>
      <c r="Y35" s="3">
        <v>8174</v>
      </c>
      <c r="Z35" s="3">
        <v>1599</v>
      </c>
      <c r="AA35" s="3" t="s">
        <v>22</v>
      </c>
      <c r="AB35" s="8"/>
      <c r="AC35" s="2">
        <v>24</v>
      </c>
      <c r="AD35" s="3">
        <v>16178</v>
      </c>
      <c r="AE35" s="5">
        <v>3.5099999999999999E-2</v>
      </c>
      <c r="AF35" s="3">
        <v>29</v>
      </c>
      <c r="AG35" s="4">
        <v>0.83</v>
      </c>
      <c r="AH35" s="3">
        <v>7847</v>
      </c>
      <c r="AI35" s="3">
        <v>1855</v>
      </c>
      <c r="AJ35" s="3" t="s">
        <v>21</v>
      </c>
      <c r="AK35" s="8"/>
      <c r="AL35" s="12"/>
      <c r="AM35" s="12"/>
      <c r="AN35" s="12"/>
    </row>
    <row r="36" spans="1:40" ht="26.4" x14ac:dyDescent="0.25">
      <c r="A36" s="8"/>
      <c r="B36" s="2">
        <v>25</v>
      </c>
      <c r="C36" s="3">
        <v>10706</v>
      </c>
      <c r="D36" s="5">
        <v>1.2500000000000001E-2</v>
      </c>
      <c r="E36" s="3">
        <v>12</v>
      </c>
      <c r="F36" s="4">
        <v>0.87</v>
      </c>
      <c r="G36" s="3">
        <v>8672</v>
      </c>
      <c r="H36" s="3">
        <v>456</v>
      </c>
      <c r="I36" s="3" t="s">
        <v>19</v>
      </c>
      <c r="J36" s="8"/>
      <c r="K36" s="2">
        <v>25</v>
      </c>
      <c r="L36" s="3">
        <v>9421</v>
      </c>
      <c r="M36" s="5">
        <v>1.18E-2</v>
      </c>
      <c r="N36" s="3">
        <v>12</v>
      </c>
      <c r="O36" s="4">
        <v>0.87</v>
      </c>
      <c r="P36" s="3">
        <v>7978</v>
      </c>
      <c r="Q36" s="3">
        <v>1276</v>
      </c>
      <c r="R36" s="3" t="s">
        <v>20</v>
      </c>
      <c r="S36" s="8"/>
      <c r="T36" s="2">
        <v>25</v>
      </c>
      <c r="U36" s="3">
        <v>11965</v>
      </c>
      <c r="V36" s="5">
        <v>1.2999999999999999E-2</v>
      </c>
      <c r="W36" s="3">
        <v>19</v>
      </c>
      <c r="X36" s="4">
        <v>0.87</v>
      </c>
      <c r="Y36" s="3">
        <v>8536</v>
      </c>
      <c r="Z36" s="3">
        <v>1646</v>
      </c>
      <c r="AA36" s="3" t="s">
        <v>22</v>
      </c>
      <c r="AB36" s="8"/>
      <c r="AC36" s="2">
        <v>25</v>
      </c>
      <c r="AD36" s="3">
        <v>15794</v>
      </c>
      <c r="AE36" s="5">
        <v>1.2999999999999999E-2</v>
      </c>
      <c r="AF36" s="3">
        <v>20</v>
      </c>
      <c r="AG36" s="4">
        <v>0.87</v>
      </c>
      <c r="AH36" s="3">
        <v>7682</v>
      </c>
      <c r="AI36" s="3">
        <v>2222</v>
      </c>
      <c r="AJ36" s="3" t="s">
        <v>21</v>
      </c>
      <c r="AK36" s="8"/>
      <c r="AL36" s="12"/>
      <c r="AM36" s="12"/>
      <c r="AN36" s="12"/>
    </row>
    <row r="37" spans="1:40" ht="26.4" x14ac:dyDescent="0.25">
      <c r="A37" s="8"/>
      <c r="B37" s="2">
        <v>26</v>
      </c>
      <c r="C37" s="3">
        <v>9980</v>
      </c>
      <c r="D37" s="5">
        <v>3.7499999999999999E-2</v>
      </c>
      <c r="E37" s="3">
        <v>12</v>
      </c>
      <c r="F37" s="4">
        <v>0.8</v>
      </c>
      <c r="G37" s="3">
        <v>7984</v>
      </c>
      <c r="H37" s="3">
        <v>399</v>
      </c>
      <c r="I37" s="3" t="s">
        <v>19</v>
      </c>
      <c r="J37" s="8"/>
      <c r="K37" s="2">
        <v>26</v>
      </c>
      <c r="L37" s="3">
        <v>8283</v>
      </c>
      <c r="M37" s="5">
        <v>3.4500000000000003E-2</v>
      </c>
      <c r="N37" s="3">
        <v>12</v>
      </c>
      <c r="O37" s="4">
        <v>0.8</v>
      </c>
      <c r="P37" s="3">
        <v>7665</v>
      </c>
      <c r="Q37" s="3">
        <v>1073</v>
      </c>
      <c r="R37" s="3" t="s">
        <v>20</v>
      </c>
      <c r="S37" s="8"/>
      <c r="T37" s="2">
        <v>26</v>
      </c>
      <c r="U37" s="3">
        <v>10519</v>
      </c>
      <c r="V37" s="5">
        <v>3.8600000000000002E-2</v>
      </c>
      <c r="W37" s="3">
        <v>18</v>
      </c>
      <c r="X37" s="4">
        <v>0.8</v>
      </c>
      <c r="Y37" s="3">
        <v>8738</v>
      </c>
      <c r="Z37" s="3">
        <v>1255</v>
      </c>
      <c r="AA37" s="3" t="s">
        <v>22</v>
      </c>
      <c r="AB37" s="8"/>
      <c r="AC37" s="2">
        <v>26</v>
      </c>
      <c r="AD37" s="3">
        <v>11361</v>
      </c>
      <c r="AE37" s="5">
        <v>3.8600000000000002E-2</v>
      </c>
      <c r="AF37" s="3">
        <v>20</v>
      </c>
      <c r="AG37" s="4">
        <v>0.8</v>
      </c>
      <c r="AH37" s="3">
        <v>8388</v>
      </c>
      <c r="AI37" s="3">
        <v>1544</v>
      </c>
      <c r="AJ37" s="3" t="s">
        <v>21</v>
      </c>
      <c r="AK37" s="8"/>
      <c r="AL37" s="12"/>
      <c r="AM37" s="12"/>
      <c r="AN37" s="12"/>
    </row>
    <row r="38" spans="1:40" ht="26.4" x14ac:dyDescent="0.25">
      <c r="A38" s="8"/>
      <c r="B38" s="2">
        <v>27</v>
      </c>
      <c r="C38" s="3">
        <v>9598</v>
      </c>
      <c r="D38" s="5">
        <v>0.01</v>
      </c>
      <c r="E38" s="3">
        <v>11</v>
      </c>
      <c r="F38" s="4">
        <v>0.9</v>
      </c>
      <c r="G38" s="3">
        <v>7678</v>
      </c>
      <c r="H38" s="3">
        <v>480</v>
      </c>
      <c r="I38" s="3" t="s">
        <v>19</v>
      </c>
      <c r="J38" s="8"/>
      <c r="K38" s="2">
        <v>27</v>
      </c>
      <c r="L38" s="3">
        <v>9520</v>
      </c>
      <c r="M38" s="5">
        <v>9.2999999999999992E-3</v>
      </c>
      <c r="N38" s="3">
        <v>11</v>
      </c>
      <c r="O38" s="4">
        <v>0.9</v>
      </c>
      <c r="P38" s="3">
        <v>7524</v>
      </c>
      <c r="Q38" s="3">
        <v>1279</v>
      </c>
      <c r="R38" s="3" t="s">
        <v>20</v>
      </c>
      <c r="S38" s="8"/>
      <c r="T38" s="2">
        <v>27</v>
      </c>
      <c r="U38" s="3">
        <v>10853</v>
      </c>
      <c r="V38" s="5">
        <v>1.03E-2</v>
      </c>
      <c r="W38" s="3">
        <v>16</v>
      </c>
      <c r="X38" s="4">
        <v>0.9</v>
      </c>
      <c r="Y38" s="3">
        <v>9179</v>
      </c>
      <c r="Z38" s="3">
        <v>1522</v>
      </c>
      <c r="AA38" s="3" t="s">
        <v>22</v>
      </c>
      <c r="AB38" s="8"/>
      <c r="AC38" s="2">
        <v>27</v>
      </c>
      <c r="AD38" s="3">
        <v>11504</v>
      </c>
      <c r="AE38" s="5">
        <v>0.03</v>
      </c>
      <c r="AF38" s="3">
        <v>19</v>
      </c>
      <c r="AG38" s="4">
        <v>0.9</v>
      </c>
      <c r="AH38" s="3">
        <v>9913</v>
      </c>
      <c r="AI38" s="3">
        <v>1552</v>
      </c>
      <c r="AJ38" s="3" t="s">
        <v>21</v>
      </c>
      <c r="AK38" s="8"/>
      <c r="AL38" s="12"/>
      <c r="AM38" s="12"/>
      <c r="AN38" s="12"/>
    </row>
    <row r="39" spans="1:40" ht="26.4" x14ac:dyDescent="0.25">
      <c r="A39" s="8"/>
      <c r="B39" s="2">
        <v>28</v>
      </c>
      <c r="C39" s="3">
        <v>9572</v>
      </c>
      <c r="D39" s="5">
        <v>2.5000000000000001E-2</v>
      </c>
      <c r="E39" s="3">
        <v>15</v>
      </c>
      <c r="F39" s="4">
        <v>0.93</v>
      </c>
      <c r="G39" s="3">
        <v>8136</v>
      </c>
      <c r="H39" s="3">
        <v>479</v>
      </c>
      <c r="I39" s="3" t="s">
        <v>19</v>
      </c>
      <c r="J39" s="8"/>
      <c r="K39" s="2">
        <v>28</v>
      </c>
      <c r="L39" s="3">
        <v>8328</v>
      </c>
      <c r="M39" s="5">
        <v>2.23E-2</v>
      </c>
      <c r="N39" s="3">
        <v>13</v>
      </c>
      <c r="O39" s="4">
        <v>0.93</v>
      </c>
      <c r="P39" s="3">
        <v>6672</v>
      </c>
      <c r="Q39" s="3">
        <v>1268</v>
      </c>
      <c r="R39" s="3" t="s">
        <v>20</v>
      </c>
      <c r="S39" s="8"/>
      <c r="T39" s="2">
        <v>28</v>
      </c>
      <c r="U39" s="3">
        <v>9244</v>
      </c>
      <c r="V39" s="5">
        <v>2.5000000000000001E-2</v>
      </c>
      <c r="W39" s="3">
        <v>17</v>
      </c>
      <c r="X39" s="4">
        <v>0.93</v>
      </c>
      <c r="Y39" s="3">
        <v>7539</v>
      </c>
      <c r="Z39" s="3">
        <v>1572</v>
      </c>
      <c r="AA39" s="3" t="s">
        <v>22</v>
      </c>
      <c r="AB39" s="8"/>
      <c r="AC39" s="2">
        <v>28</v>
      </c>
      <c r="AD39" s="3">
        <v>11555</v>
      </c>
      <c r="AE39" s="5">
        <v>2.5000000000000001E-2</v>
      </c>
      <c r="AF39" s="3">
        <v>20</v>
      </c>
      <c r="AG39" s="4">
        <v>0.93</v>
      </c>
      <c r="AH39" s="3">
        <v>7237</v>
      </c>
      <c r="AI39" s="3">
        <v>1981</v>
      </c>
      <c r="AJ39" s="3" t="s">
        <v>21</v>
      </c>
      <c r="AK39" s="8"/>
      <c r="AL39" s="12"/>
      <c r="AM39" s="12"/>
      <c r="AN39" s="12"/>
    </row>
    <row r="40" spans="1:40" ht="26.4" x14ac:dyDescent="0.25">
      <c r="A40" s="8"/>
      <c r="B40" s="2">
        <v>29</v>
      </c>
      <c r="C40" s="3">
        <v>8833</v>
      </c>
      <c r="D40" s="5">
        <v>2.1428571428571429E-2</v>
      </c>
      <c r="E40" s="3">
        <v>11</v>
      </c>
      <c r="F40" s="4">
        <v>0.89</v>
      </c>
      <c r="G40" s="3">
        <v>7420</v>
      </c>
      <c r="H40" s="3">
        <v>495</v>
      </c>
      <c r="I40" s="3" t="s">
        <v>19</v>
      </c>
      <c r="J40" s="8"/>
      <c r="K40" s="2">
        <v>29</v>
      </c>
      <c r="L40" s="3">
        <v>7950</v>
      </c>
      <c r="M40" s="5">
        <v>2.23E-2</v>
      </c>
      <c r="N40" s="3">
        <v>12</v>
      </c>
      <c r="O40" s="4">
        <v>0.89</v>
      </c>
      <c r="P40" s="3">
        <v>6901</v>
      </c>
      <c r="Q40" s="3">
        <v>828</v>
      </c>
      <c r="R40" s="3" t="s">
        <v>20</v>
      </c>
      <c r="S40" s="8"/>
      <c r="T40" s="2">
        <v>29</v>
      </c>
      <c r="U40" s="3">
        <v>12520</v>
      </c>
      <c r="V40" s="5">
        <v>2.4500000000000001E-2</v>
      </c>
      <c r="W40" s="3">
        <v>16</v>
      </c>
      <c r="X40" s="4">
        <v>0.89</v>
      </c>
      <c r="Y40" s="3">
        <v>8419</v>
      </c>
      <c r="Z40" s="3">
        <v>770</v>
      </c>
      <c r="AA40" s="3" t="s">
        <v>22</v>
      </c>
      <c r="AB40" s="8"/>
      <c r="AC40" s="2">
        <v>29</v>
      </c>
      <c r="AD40" s="3">
        <v>15274</v>
      </c>
      <c r="AE40" s="5">
        <v>2.4500000000000001E-2</v>
      </c>
      <c r="AF40" s="3">
        <v>20</v>
      </c>
      <c r="AG40" s="4">
        <v>0.89</v>
      </c>
      <c r="AH40" s="3">
        <v>7661</v>
      </c>
      <c r="AI40" s="3">
        <v>978</v>
      </c>
      <c r="AJ40" s="3" t="s">
        <v>21</v>
      </c>
      <c r="AK40" s="8"/>
      <c r="AL40" s="12"/>
      <c r="AM40" s="12"/>
      <c r="AN40" s="12"/>
    </row>
    <row r="41" spans="1:40" ht="26.4" x14ac:dyDescent="0.25">
      <c r="A41" s="8"/>
      <c r="B41" s="2">
        <v>30</v>
      </c>
      <c r="C41" s="3">
        <v>9184</v>
      </c>
      <c r="D41" s="5">
        <v>1.4999999999999999E-2</v>
      </c>
      <c r="E41" s="3">
        <v>8</v>
      </c>
      <c r="F41" s="4">
        <v>0.79</v>
      </c>
      <c r="G41" s="3">
        <v>7806</v>
      </c>
      <c r="H41" s="3">
        <v>390</v>
      </c>
      <c r="I41" s="3" t="s">
        <v>19</v>
      </c>
      <c r="J41" s="8"/>
      <c r="K41" s="2">
        <v>30</v>
      </c>
      <c r="L41" s="3">
        <v>7990</v>
      </c>
      <c r="M41" s="5">
        <v>1.44E-2</v>
      </c>
      <c r="N41" s="3">
        <v>7</v>
      </c>
      <c r="O41" s="4">
        <v>0.82</v>
      </c>
      <c r="P41" s="3">
        <v>7572</v>
      </c>
      <c r="Q41" s="3">
        <v>1212</v>
      </c>
      <c r="R41" s="3" t="s">
        <v>20</v>
      </c>
      <c r="S41" s="8"/>
      <c r="T41" s="2">
        <v>30</v>
      </c>
      <c r="U41" s="3">
        <v>10467</v>
      </c>
      <c r="V41" s="5">
        <v>1.6E-2</v>
      </c>
      <c r="W41" s="3">
        <v>9</v>
      </c>
      <c r="X41" s="4">
        <v>0.79</v>
      </c>
      <c r="Y41" s="3">
        <v>8708</v>
      </c>
      <c r="Z41" s="3">
        <v>1442</v>
      </c>
      <c r="AA41" s="3" t="s">
        <v>22</v>
      </c>
      <c r="AB41" s="8"/>
      <c r="AC41" s="2">
        <v>30</v>
      </c>
      <c r="AD41" s="3">
        <v>13502</v>
      </c>
      <c r="AE41" s="5">
        <v>1.6E-2</v>
      </c>
      <c r="AF41" s="3">
        <v>11</v>
      </c>
      <c r="AG41" s="4">
        <v>0.85</v>
      </c>
      <c r="AH41" s="3">
        <v>8360</v>
      </c>
      <c r="AI41" s="3">
        <v>1413</v>
      </c>
      <c r="AJ41" s="3" t="s">
        <v>21</v>
      </c>
      <c r="AK41" s="8"/>
      <c r="AL41" s="12"/>
      <c r="AM41" s="12"/>
      <c r="AN41" s="12"/>
    </row>
    <row r="42" spans="1:40" ht="26.4" x14ac:dyDescent="0.25">
      <c r="A42" s="8"/>
      <c r="B42" s="2">
        <v>31</v>
      </c>
      <c r="C42" s="3">
        <v>8917</v>
      </c>
      <c r="D42" s="5">
        <v>7.4999999999999997E-3</v>
      </c>
      <c r="E42" s="3">
        <v>23</v>
      </c>
      <c r="F42" s="4">
        <v>0.8</v>
      </c>
      <c r="G42" s="3">
        <v>7401</v>
      </c>
      <c r="H42" s="3">
        <v>463</v>
      </c>
      <c r="I42" s="3" t="s">
        <v>19</v>
      </c>
      <c r="J42" s="8"/>
      <c r="K42" s="2">
        <v>31</v>
      </c>
      <c r="L42" s="3">
        <v>7936</v>
      </c>
      <c r="M42" s="5">
        <v>7.7000000000000002E-3</v>
      </c>
      <c r="N42" s="3">
        <v>22</v>
      </c>
      <c r="O42" s="4">
        <v>0.8</v>
      </c>
      <c r="P42" s="3">
        <v>6439</v>
      </c>
      <c r="Q42" s="3">
        <v>1159</v>
      </c>
      <c r="R42" s="3" t="s">
        <v>20</v>
      </c>
      <c r="S42" s="8"/>
      <c r="T42" s="2">
        <v>31</v>
      </c>
      <c r="U42" s="3">
        <v>10222</v>
      </c>
      <c r="V42" s="5">
        <v>8.5000000000000006E-3</v>
      </c>
      <c r="W42" s="3">
        <v>34</v>
      </c>
      <c r="X42" s="4">
        <v>0.84</v>
      </c>
      <c r="Y42" s="3">
        <v>7340</v>
      </c>
      <c r="Z42" s="3">
        <v>1182</v>
      </c>
      <c r="AA42" s="3" t="s">
        <v>22</v>
      </c>
      <c r="AB42" s="8"/>
      <c r="AC42" s="2">
        <v>31</v>
      </c>
      <c r="AD42" s="3">
        <v>12062</v>
      </c>
      <c r="AE42" s="5">
        <v>0.04</v>
      </c>
      <c r="AF42" s="3">
        <v>35</v>
      </c>
      <c r="AG42" s="4">
        <v>0.8</v>
      </c>
      <c r="AH42" s="3">
        <v>6973</v>
      </c>
      <c r="AI42" s="3">
        <v>1430</v>
      </c>
      <c r="AJ42" s="3" t="s">
        <v>21</v>
      </c>
      <c r="AK42" s="8"/>
      <c r="AL42" s="12"/>
      <c r="AM42" s="12"/>
      <c r="AN42" s="12"/>
    </row>
    <row r="43" spans="1:40" ht="26.4" x14ac:dyDescent="0.25">
      <c r="A43" s="8"/>
      <c r="B43" s="2">
        <v>32</v>
      </c>
      <c r="C43" s="3">
        <v>9426</v>
      </c>
      <c r="D43" s="5">
        <v>1.2500000000000001E-2</v>
      </c>
      <c r="E43" s="3">
        <v>18</v>
      </c>
      <c r="F43" s="4">
        <v>0.93</v>
      </c>
      <c r="G43" s="3">
        <v>7729</v>
      </c>
      <c r="H43" s="3">
        <v>483</v>
      </c>
      <c r="I43" s="3" t="s">
        <v>19</v>
      </c>
      <c r="J43" s="8"/>
      <c r="K43" s="2">
        <v>32</v>
      </c>
      <c r="L43" s="3">
        <v>8672</v>
      </c>
      <c r="M43" s="5">
        <v>1.2E-2</v>
      </c>
      <c r="N43" s="3">
        <v>16</v>
      </c>
      <c r="O43" s="4">
        <v>0.93</v>
      </c>
      <c r="P43" s="3">
        <v>6879</v>
      </c>
      <c r="Q43" s="3">
        <v>1101</v>
      </c>
      <c r="R43" s="3" t="s">
        <v>20</v>
      </c>
      <c r="S43" s="8"/>
      <c r="T43" s="2">
        <v>32</v>
      </c>
      <c r="U43" s="3">
        <v>11013</v>
      </c>
      <c r="V43" s="5">
        <v>1.34E-2</v>
      </c>
      <c r="W43" s="3">
        <v>23</v>
      </c>
      <c r="X43" s="4">
        <v>0.92</v>
      </c>
      <c r="Y43" s="3">
        <v>7154</v>
      </c>
      <c r="Z43" s="3">
        <v>1057</v>
      </c>
      <c r="AA43" s="3" t="s">
        <v>22</v>
      </c>
      <c r="AB43" s="8"/>
      <c r="AC43" s="2">
        <v>32</v>
      </c>
      <c r="AD43" s="3">
        <v>14317</v>
      </c>
      <c r="AE43" s="5">
        <v>2.8000000000000001E-2</v>
      </c>
      <c r="AF43" s="3">
        <v>24</v>
      </c>
      <c r="AG43" s="4">
        <v>0.92</v>
      </c>
      <c r="AH43" s="3">
        <v>7297</v>
      </c>
      <c r="AI43" s="3">
        <v>1194</v>
      </c>
      <c r="AJ43" s="3" t="s">
        <v>21</v>
      </c>
      <c r="AK43" s="8"/>
      <c r="AL43" s="12"/>
      <c r="AM43" s="12"/>
      <c r="AN43" s="12"/>
    </row>
    <row r="44" spans="1:40" ht="26.4" x14ac:dyDescent="0.25">
      <c r="A44" s="8"/>
      <c r="B44" s="2">
        <v>33</v>
      </c>
      <c r="C44" s="3">
        <v>10799</v>
      </c>
      <c r="D44" s="5">
        <v>4.2857142857142858E-2</v>
      </c>
      <c r="E44" s="3">
        <v>21</v>
      </c>
      <c r="F44" s="4">
        <v>0.87</v>
      </c>
      <c r="G44" s="3">
        <v>9179</v>
      </c>
      <c r="H44" s="3">
        <v>612</v>
      </c>
      <c r="I44" s="3" t="s">
        <v>19</v>
      </c>
      <c r="J44" s="8"/>
      <c r="K44" s="2">
        <v>33</v>
      </c>
      <c r="L44" s="3">
        <v>8963</v>
      </c>
      <c r="M44" s="5">
        <v>3.9899999999999998E-2</v>
      </c>
      <c r="N44" s="3">
        <v>22</v>
      </c>
      <c r="O44" s="4">
        <v>0.87</v>
      </c>
      <c r="P44" s="3">
        <v>7251</v>
      </c>
      <c r="Q44" s="3">
        <v>1378</v>
      </c>
      <c r="R44" s="3" t="s">
        <v>20</v>
      </c>
      <c r="S44" s="8"/>
      <c r="T44" s="2">
        <v>33</v>
      </c>
      <c r="U44" s="3">
        <v>10576</v>
      </c>
      <c r="V44" s="5">
        <v>4.4299999999999999E-2</v>
      </c>
      <c r="W44" s="3">
        <v>29</v>
      </c>
      <c r="X44" s="4">
        <v>0.87</v>
      </c>
      <c r="Y44" s="3">
        <v>8484</v>
      </c>
      <c r="Z44" s="3">
        <v>1350</v>
      </c>
      <c r="AA44" s="3" t="s">
        <v>22</v>
      </c>
      <c r="AB44" s="8"/>
      <c r="AC44" s="2">
        <v>33</v>
      </c>
      <c r="AD44" s="3">
        <v>13749</v>
      </c>
      <c r="AE44" s="5">
        <v>4.4299999999999999E-2</v>
      </c>
      <c r="AF44" s="3">
        <v>29</v>
      </c>
      <c r="AG44" s="4">
        <v>0.87</v>
      </c>
      <c r="AH44" s="3">
        <v>7890</v>
      </c>
      <c r="AI44" s="3">
        <v>1323</v>
      </c>
      <c r="AJ44" s="3" t="s">
        <v>21</v>
      </c>
      <c r="AK44" s="8"/>
      <c r="AL44" s="12"/>
      <c r="AM44" s="12"/>
      <c r="AN44" s="12"/>
    </row>
    <row r="45" spans="1:40" ht="26.4" x14ac:dyDescent="0.25">
      <c r="A45" s="8"/>
      <c r="B45" s="2">
        <v>34</v>
      </c>
      <c r="C45" s="3">
        <v>9644</v>
      </c>
      <c r="D45" s="5">
        <v>8.5714285714285701E-3</v>
      </c>
      <c r="E45" s="3">
        <v>11</v>
      </c>
      <c r="F45" s="4">
        <v>0.79</v>
      </c>
      <c r="G45" s="3">
        <v>7908</v>
      </c>
      <c r="H45" s="3">
        <v>377</v>
      </c>
      <c r="I45" s="3" t="s">
        <v>19</v>
      </c>
      <c r="J45" s="8"/>
      <c r="K45" s="2">
        <v>34</v>
      </c>
      <c r="L45" s="3">
        <v>8420</v>
      </c>
      <c r="M45" s="5">
        <v>7.7000000000000002E-3</v>
      </c>
      <c r="N45" s="3">
        <v>10</v>
      </c>
      <c r="O45" s="4">
        <v>0.85</v>
      </c>
      <c r="P45" s="3">
        <v>6722</v>
      </c>
      <c r="Q45" s="3">
        <v>672</v>
      </c>
      <c r="R45" s="3" t="s">
        <v>20</v>
      </c>
      <c r="S45" s="8"/>
      <c r="T45" s="2">
        <v>34</v>
      </c>
      <c r="U45" s="3">
        <v>10525</v>
      </c>
      <c r="V45" s="5">
        <v>8.5000000000000006E-3</v>
      </c>
      <c r="W45" s="3">
        <v>13</v>
      </c>
      <c r="X45" s="4">
        <v>0.79</v>
      </c>
      <c r="Y45" s="3">
        <v>7260</v>
      </c>
      <c r="Z45" s="3">
        <v>759</v>
      </c>
      <c r="AA45" s="3" t="s">
        <v>22</v>
      </c>
      <c r="AB45" s="8"/>
      <c r="AC45" s="2">
        <v>34</v>
      </c>
      <c r="AD45" s="3">
        <v>13472</v>
      </c>
      <c r="AE45" s="5">
        <v>8.5000000000000006E-3</v>
      </c>
      <c r="AF45" s="3">
        <v>16</v>
      </c>
      <c r="AG45" s="4">
        <v>0.79</v>
      </c>
      <c r="AH45" s="3">
        <v>6824</v>
      </c>
      <c r="AI45" s="3">
        <v>1009</v>
      </c>
      <c r="AJ45" s="3" t="s">
        <v>21</v>
      </c>
      <c r="AK45" s="8"/>
      <c r="AL45" s="12"/>
      <c r="AM45" s="12"/>
      <c r="AN45" s="12"/>
    </row>
    <row r="46" spans="1:40" ht="26.4" x14ac:dyDescent="0.25">
      <c r="A46" s="8"/>
      <c r="B46" s="2">
        <v>35</v>
      </c>
      <c r="C46" s="3">
        <v>8655</v>
      </c>
      <c r="D46" s="5">
        <v>1.4285714285714284E-2</v>
      </c>
      <c r="E46" s="3">
        <v>22</v>
      </c>
      <c r="F46" s="4">
        <v>0.87</v>
      </c>
      <c r="G46" s="3">
        <v>7097</v>
      </c>
      <c r="H46" s="3">
        <v>473</v>
      </c>
      <c r="I46" s="3" t="s">
        <v>19</v>
      </c>
      <c r="J46" s="8"/>
      <c r="K46" s="2">
        <v>35</v>
      </c>
      <c r="L46" s="3">
        <v>7616</v>
      </c>
      <c r="M46" s="5">
        <v>1.4999999999999999E-2</v>
      </c>
      <c r="N46" s="3">
        <v>20</v>
      </c>
      <c r="O46" s="4">
        <v>0.87</v>
      </c>
      <c r="P46" s="3">
        <v>5678</v>
      </c>
      <c r="Q46" s="3">
        <v>681</v>
      </c>
      <c r="R46" s="3" t="s">
        <v>20</v>
      </c>
      <c r="S46" s="8"/>
      <c r="T46" s="2">
        <v>35</v>
      </c>
      <c r="U46" s="3">
        <v>11200</v>
      </c>
      <c r="V46" s="5">
        <v>1.6500000000000001E-2</v>
      </c>
      <c r="W46" s="3">
        <v>26</v>
      </c>
      <c r="X46" s="4">
        <v>0.87</v>
      </c>
      <c r="Y46" s="3">
        <v>6075</v>
      </c>
      <c r="Z46" s="3">
        <v>1052</v>
      </c>
      <c r="AA46" s="3" t="s">
        <v>22</v>
      </c>
      <c r="AB46" s="8"/>
      <c r="AC46" s="2">
        <v>35</v>
      </c>
      <c r="AD46" s="3">
        <v>11872</v>
      </c>
      <c r="AE46" s="5">
        <v>1.6500000000000001E-2</v>
      </c>
      <c r="AF46" s="3">
        <v>31</v>
      </c>
      <c r="AG46" s="4">
        <v>0.87</v>
      </c>
      <c r="AH46" s="3">
        <v>5650</v>
      </c>
      <c r="AI46" s="3">
        <v>1326</v>
      </c>
      <c r="AJ46" s="3" t="s">
        <v>21</v>
      </c>
      <c r="AK46" s="8"/>
      <c r="AL46" s="12"/>
      <c r="AM46" s="12"/>
      <c r="AN46" s="12"/>
    </row>
    <row r="47" spans="1:40" ht="26.4" x14ac:dyDescent="0.25">
      <c r="A47" s="8"/>
      <c r="B47" s="2">
        <v>36</v>
      </c>
      <c r="C47" s="3">
        <v>9065</v>
      </c>
      <c r="D47" s="5">
        <v>2.5000000000000001E-2</v>
      </c>
      <c r="E47" s="3">
        <v>15</v>
      </c>
      <c r="F47" s="4">
        <v>0.88</v>
      </c>
      <c r="G47" s="3">
        <v>7343</v>
      </c>
      <c r="H47" s="3">
        <v>367</v>
      </c>
      <c r="I47" s="3" t="s">
        <v>19</v>
      </c>
      <c r="J47" s="8"/>
      <c r="K47" s="2">
        <v>36</v>
      </c>
      <c r="L47" s="3">
        <v>7887</v>
      </c>
      <c r="M47" s="5">
        <v>2.5999999999999999E-2</v>
      </c>
      <c r="N47" s="3">
        <v>16</v>
      </c>
      <c r="O47" s="4">
        <v>0.88</v>
      </c>
      <c r="P47" s="3">
        <v>7270</v>
      </c>
      <c r="Q47" s="3">
        <v>872</v>
      </c>
      <c r="R47" s="3" t="s">
        <v>20</v>
      </c>
      <c r="S47" s="8"/>
      <c r="T47" s="2">
        <v>36</v>
      </c>
      <c r="U47" s="3">
        <v>11042</v>
      </c>
      <c r="V47" s="5">
        <v>2.86E-2</v>
      </c>
      <c r="W47" s="3">
        <v>22</v>
      </c>
      <c r="X47" s="4">
        <v>0.88</v>
      </c>
      <c r="Y47" s="3">
        <v>8651</v>
      </c>
      <c r="Z47" s="3">
        <v>811</v>
      </c>
      <c r="AA47" s="3" t="s">
        <v>22</v>
      </c>
      <c r="AB47" s="8"/>
      <c r="AC47" s="2">
        <v>36</v>
      </c>
      <c r="AD47" s="3">
        <v>13250</v>
      </c>
      <c r="AE47" s="5">
        <v>2.86E-2</v>
      </c>
      <c r="AF47" s="3">
        <v>22</v>
      </c>
      <c r="AG47" s="4">
        <v>0.88</v>
      </c>
      <c r="AH47" s="3">
        <v>8305</v>
      </c>
      <c r="AI47" s="3">
        <v>892</v>
      </c>
      <c r="AJ47" s="3" t="s">
        <v>21</v>
      </c>
      <c r="AK47" s="8"/>
      <c r="AL47" s="12"/>
      <c r="AM47" s="12"/>
      <c r="AN47" s="12"/>
    </row>
    <row r="48" spans="1:40" ht="26.4" x14ac:dyDescent="0.25">
      <c r="A48" s="8"/>
      <c r="B48" s="2">
        <v>37</v>
      </c>
      <c r="C48" s="3">
        <v>10328</v>
      </c>
      <c r="D48" s="5">
        <v>2.571428571428571E-2</v>
      </c>
      <c r="E48" s="3">
        <v>8</v>
      </c>
      <c r="F48" s="4">
        <v>0.86</v>
      </c>
      <c r="G48" s="3">
        <v>8572</v>
      </c>
      <c r="H48" s="3">
        <v>536</v>
      </c>
      <c r="I48" s="3" t="s">
        <v>19</v>
      </c>
      <c r="J48" s="8"/>
      <c r="K48" s="2">
        <v>37</v>
      </c>
      <c r="L48" s="3">
        <v>8882</v>
      </c>
      <c r="M48" s="5">
        <v>2.2599999999999999E-2</v>
      </c>
      <c r="N48" s="3">
        <v>8</v>
      </c>
      <c r="O48" s="4">
        <v>0.86</v>
      </c>
      <c r="P48" s="3">
        <v>8229</v>
      </c>
      <c r="Q48" s="3">
        <v>987</v>
      </c>
      <c r="R48" s="3" t="s">
        <v>20</v>
      </c>
      <c r="S48" s="8"/>
      <c r="T48" s="2">
        <v>37</v>
      </c>
      <c r="U48" s="3">
        <v>9770</v>
      </c>
      <c r="V48" s="5">
        <v>2.53E-2</v>
      </c>
      <c r="W48" s="3">
        <v>10</v>
      </c>
      <c r="X48" s="4">
        <v>0.86</v>
      </c>
      <c r="Y48" s="3">
        <v>9793</v>
      </c>
      <c r="Z48" s="3">
        <v>1135</v>
      </c>
      <c r="AA48" s="3" t="s">
        <v>22</v>
      </c>
      <c r="AB48" s="8"/>
      <c r="AC48" s="2">
        <v>37</v>
      </c>
      <c r="AD48" s="3">
        <v>11138</v>
      </c>
      <c r="AE48" s="5">
        <v>2.53E-2</v>
      </c>
      <c r="AF48" s="3">
        <v>11</v>
      </c>
      <c r="AG48" s="4">
        <v>0.86</v>
      </c>
      <c r="AH48" s="3">
        <v>9597</v>
      </c>
      <c r="AI48" s="3">
        <v>1578</v>
      </c>
      <c r="AJ48" s="3" t="s">
        <v>21</v>
      </c>
      <c r="AK48" s="8"/>
      <c r="AL48" s="12"/>
      <c r="AM48" s="12"/>
      <c r="AN48" s="12"/>
    </row>
    <row r="49" spans="1:40" ht="26.4" x14ac:dyDescent="0.25">
      <c r="A49" s="8"/>
      <c r="B49" s="2">
        <v>38</v>
      </c>
      <c r="C49" s="3">
        <v>9918</v>
      </c>
      <c r="D49" s="5">
        <v>1.714285714285714E-2</v>
      </c>
      <c r="E49" s="3">
        <v>13</v>
      </c>
      <c r="F49" s="4">
        <v>0.86</v>
      </c>
      <c r="G49" s="3">
        <v>7934</v>
      </c>
      <c r="H49" s="3">
        <v>418</v>
      </c>
      <c r="I49" s="3" t="s">
        <v>19</v>
      </c>
      <c r="J49" s="8"/>
      <c r="K49" s="2">
        <v>38</v>
      </c>
      <c r="L49" s="3">
        <v>8728</v>
      </c>
      <c r="M49" s="5">
        <v>1.7999999999999999E-2</v>
      </c>
      <c r="N49" s="3">
        <v>13</v>
      </c>
      <c r="O49" s="4">
        <v>0.86</v>
      </c>
      <c r="P49" s="3">
        <v>7061</v>
      </c>
      <c r="Q49" s="3">
        <v>777</v>
      </c>
      <c r="R49" s="3" t="s">
        <v>20</v>
      </c>
      <c r="S49" s="8"/>
      <c r="T49" s="2">
        <v>38</v>
      </c>
      <c r="U49" s="3">
        <v>11608</v>
      </c>
      <c r="V49" s="5">
        <v>1.9800000000000002E-2</v>
      </c>
      <c r="W49" s="3">
        <v>16</v>
      </c>
      <c r="X49" s="4">
        <v>0.86</v>
      </c>
      <c r="Y49" s="3">
        <v>7626</v>
      </c>
      <c r="Z49" s="3">
        <v>870</v>
      </c>
      <c r="AA49" s="3" t="s">
        <v>22</v>
      </c>
      <c r="AB49" s="8"/>
      <c r="AC49" s="2">
        <v>38</v>
      </c>
      <c r="AD49" s="3">
        <v>14858</v>
      </c>
      <c r="AE49" s="5">
        <v>1.9800000000000002E-2</v>
      </c>
      <c r="AF49" s="3">
        <v>19</v>
      </c>
      <c r="AG49" s="4">
        <v>0.86</v>
      </c>
      <c r="AH49" s="3">
        <v>6863</v>
      </c>
      <c r="AI49" s="3">
        <v>931</v>
      </c>
      <c r="AJ49" s="3" t="s">
        <v>21</v>
      </c>
      <c r="AK49" s="8"/>
      <c r="AL49" s="12"/>
      <c r="AM49" s="12"/>
      <c r="AN49" s="12"/>
    </row>
    <row r="50" spans="1:40" ht="26.4" x14ac:dyDescent="0.25">
      <c r="A50" s="8"/>
      <c r="B50" s="2">
        <v>39</v>
      </c>
      <c r="C50" s="3">
        <v>9705</v>
      </c>
      <c r="D50" s="5">
        <v>0.03</v>
      </c>
      <c r="E50" s="3">
        <v>25</v>
      </c>
      <c r="F50" s="4">
        <v>0.87</v>
      </c>
      <c r="G50" s="3">
        <v>7861</v>
      </c>
      <c r="H50" s="3">
        <v>491</v>
      </c>
      <c r="I50" s="3" t="s">
        <v>19</v>
      </c>
      <c r="J50" s="8"/>
      <c r="K50" s="2">
        <v>39</v>
      </c>
      <c r="L50" s="3">
        <v>8735</v>
      </c>
      <c r="M50" s="5">
        <v>3.0300000000000001E-2</v>
      </c>
      <c r="N50" s="3">
        <v>23</v>
      </c>
      <c r="O50" s="4">
        <v>0.87</v>
      </c>
      <c r="P50" s="3">
        <v>7232</v>
      </c>
      <c r="Q50" s="3">
        <v>1374</v>
      </c>
      <c r="R50" s="3" t="s">
        <v>20</v>
      </c>
      <c r="S50" s="8"/>
      <c r="T50" s="2">
        <v>39</v>
      </c>
      <c r="U50" s="3">
        <v>9958</v>
      </c>
      <c r="V50" s="5">
        <v>3.39E-2</v>
      </c>
      <c r="W50" s="3">
        <v>29</v>
      </c>
      <c r="X50" s="4">
        <v>0.88</v>
      </c>
      <c r="Y50" s="3">
        <v>8823</v>
      </c>
      <c r="Z50" s="3">
        <v>1704</v>
      </c>
      <c r="AA50" s="3" t="s">
        <v>22</v>
      </c>
      <c r="AB50" s="8"/>
      <c r="AC50" s="2">
        <v>39</v>
      </c>
      <c r="AD50" s="3">
        <v>12448</v>
      </c>
      <c r="AE50" s="5">
        <v>3.39E-2</v>
      </c>
      <c r="AF50" s="3">
        <v>34</v>
      </c>
      <c r="AG50" s="4">
        <v>0.88</v>
      </c>
      <c r="AH50" s="3">
        <v>9176</v>
      </c>
      <c r="AI50" s="3">
        <v>2300</v>
      </c>
      <c r="AJ50" s="3" t="s">
        <v>21</v>
      </c>
      <c r="AK50" s="8"/>
      <c r="AL50" s="12"/>
      <c r="AM50" s="12"/>
      <c r="AN50" s="12"/>
    </row>
    <row r="51" spans="1:40" ht="26.4" x14ac:dyDescent="0.25">
      <c r="A51" s="8"/>
      <c r="B51" s="2">
        <v>40</v>
      </c>
      <c r="C51" s="3">
        <v>8669</v>
      </c>
      <c r="D51" s="5">
        <v>2.2857142857142857E-2</v>
      </c>
      <c r="E51" s="3">
        <v>17</v>
      </c>
      <c r="F51" s="4">
        <v>0.9</v>
      </c>
      <c r="G51" s="3">
        <v>7022</v>
      </c>
      <c r="H51" s="3">
        <v>468</v>
      </c>
      <c r="I51" s="3" t="s">
        <v>19</v>
      </c>
      <c r="J51" s="8"/>
      <c r="K51" s="2">
        <v>40</v>
      </c>
      <c r="L51" s="3">
        <v>7369</v>
      </c>
      <c r="M51" s="5">
        <v>2.35E-2</v>
      </c>
      <c r="N51" s="3">
        <v>17</v>
      </c>
      <c r="O51" s="4">
        <v>0.9</v>
      </c>
      <c r="P51" s="3">
        <v>6671</v>
      </c>
      <c r="Q51" s="3">
        <v>667</v>
      </c>
      <c r="R51" s="3" t="s">
        <v>20</v>
      </c>
      <c r="S51" s="8"/>
      <c r="T51" s="2">
        <v>40</v>
      </c>
      <c r="U51" s="3">
        <v>8253</v>
      </c>
      <c r="V51" s="5">
        <v>2.63E-2</v>
      </c>
      <c r="W51" s="3">
        <v>27</v>
      </c>
      <c r="X51" s="4">
        <v>0.9</v>
      </c>
      <c r="Y51" s="3">
        <v>6938</v>
      </c>
      <c r="Z51" s="3">
        <v>647</v>
      </c>
      <c r="AA51" s="3" t="s">
        <v>22</v>
      </c>
      <c r="AB51" s="8"/>
      <c r="AC51" s="2">
        <v>40</v>
      </c>
      <c r="AD51" s="3">
        <v>14500</v>
      </c>
      <c r="AE51" s="5">
        <v>2.63E-2</v>
      </c>
      <c r="AF51" s="3">
        <v>31</v>
      </c>
      <c r="AG51" s="4">
        <v>0.9</v>
      </c>
      <c r="AH51" s="3">
        <v>7077</v>
      </c>
      <c r="AI51" s="3">
        <v>906</v>
      </c>
      <c r="AJ51" s="3" t="s">
        <v>21</v>
      </c>
      <c r="AK51" s="8"/>
      <c r="AL51" s="12"/>
      <c r="AM51" s="12"/>
      <c r="AN51" s="12"/>
    </row>
    <row r="52" spans="1:40" ht="26.4" x14ac:dyDescent="0.25">
      <c r="A52" s="8"/>
      <c r="B52" s="2">
        <v>41</v>
      </c>
      <c r="C52" s="3">
        <v>11300</v>
      </c>
      <c r="D52" s="5">
        <v>1.2857142857142855E-2</v>
      </c>
      <c r="E52" s="3">
        <v>17</v>
      </c>
      <c r="F52" s="4">
        <v>0.84</v>
      </c>
      <c r="G52" s="3">
        <v>8199</v>
      </c>
      <c r="H52" s="3">
        <v>547</v>
      </c>
      <c r="I52" s="3" t="s">
        <v>19</v>
      </c>
      <c r="J52" s="8"/>
      <c r="K52" s="2">
        <v>41</v>
      </c>
      <c r="L52" s="3">
        <v>9605</v>
      </c>
      <c r="M52" s="5">
        <v>1.2999999999999999E-2</v>
      </c>
      <c r="N52" s="3">
        <v>17</v>
      </c>
      <c r="O52" s="4">
        <v>0.84</v>
      </c>
      <c r="P52" s="3">
        <v>7379</v>
      </c>
      <c r="Q52" s="3">
        <v>1328</v>
      </c>
      <c r="R52" s="3" t="s">
        <v>20</v>
      </c>
      <c r="S52" s="8"/>
      <c r="T52" s="2">
        <v>41</v>
      </c>
      <c r="U52" s="3">
        <v>13255</v>
      </c>
      <c r="V52" s="5">
        <v>1.46E-2</v>
      </c>
      <c r="W52" s="3">
        <v>20</v>
      </c>
      <c r="X52" s="4">
        <v>0.84</v>
      </c>
      <c r="Y52" s="3">
        <v>7822</v>
      </c>
      <c r="Z52" s="3">
        <v>1248</v>
      </c>
      <c r="AA52" s="3" t="s">
        <v>22</v>
      </c>
      <c r="AB52" s="8"/>
      <c r="AC52" s="2">
        <v>41</v>
      </c>
      <c r="AD52" s="3">
        <v>15243</v>
      </c>
      <c r="AE52" s="5">
        <v>1.46E-2</v>
      </c>
      <c r="AF52" s="3">
        <v>22</v>
      </c>
      <c r="AG52" s="4">
        <v>0.84</v>
      </c>
      <c r="AH52" s="3">
        <v>7509</v>
      </c>
      <c r="AI52" s="3">
        <v>1560</v>
      </c>
      <c r="AJ52" s="3" t="s">
        <v>21</v>
      </c>
      <c r="AK52" s="8"/>
      <c r="AL52" s="12"/>
      <c r="AM52" s="12"/>
      <c r="AN52" s="12"/>
    </row>
    <row r="53" spans="1:40" ht="26.4" x14ac:dyDescent="0.25">
      <c r="A53" s="8"/>
      <c r="B53" s="2">
        <v>42</v>
      </c>
      <c r="C53" s="3">
        <v>10683</v>
      </c>
      <c r="D53" s="5">
        <v>1.714285714285714E-2</v>
      </c>
      <c r="E53" s="3">
        <v>10</v>
      </c>
      <c r="F53" s="4">
        <v>0.83</v>
      </c>
      <c r="G53" s="3">
        <v>8546</v>
      </c>
      <c r="H53" s="3">
        <v>534</v>
      </c>
      <c r="I53" s="3" t="s">
        <v>19</v>
      </c>
      <c r="J53" s="8"/>
      <c r="K53" s="2">
        <v>42</v>
      </c>
      <c r="L53" s="3">
        <v>9187</v>
      </c>
      <c r="M53" s="5">
        <v>1.6299999999999999E-2</v>
      </c>
      <c r="N53" s="3">
        <v>9</v>
      </c>
      <c r="O53" s="4">
        <v>0.83</v>
      </c>
      <c r="P53" s="3">
        <v>7691</v>
      </c>
      <c r="Q53" s="3">
        <v>1231</v>
      </c>
      <c r="R53" s="3" t="s">
        <v>20</v>
      </c>
      <c r="S53" s="8"/>
      <c r="T53" s="2">
        <v>42</v>
      </c>
      <c r="U53" s="3">
        <v>11850</v>
      </c>
      <c r="V53" s="5">
        <v>1.83E-2</v>
      </c>
      <c r="W53" s="3">
        <v>12</v>
      </c>
      <c r="X53" s="4">
        <v>0.83</v>
      </c>
      <c r="Y53" s="3">
        <v>9075</v>
      </c>
      <c r="Z53" s="3">
        <v>1293</v>
      </c>
      <c r="AA53" s="3" t="s">
        <v>22</v>
      </c>
      <c r="AB53" s="8"/>
      <c r="AC53" s="2">
        <v>42</v>
      </c>
      <c r="AD53" s="3">
        <v>15405</v>
      </c>
      <c r="AE53" s="5">
        <v>1.83E-2</v>
      </c>
      <c r="AF53" s="3">
        <v>13</v>
      </c>
      <c r="AG53" s="4">
        <v>0.83</v>
      </c>
      <c r="AH53" s="3">
        <v>8621</v>
      </c>
      <c r="AI53" s="3">
        <v>1771</v>
      </c>
      <c r="AJ53" s="3" t="s">
        <v>21</v>
      </c>
      <c r="AK53" s="8"/>
      <c r="AL53" s="12"/>
      <c r="AM53" s="12"/>
      <c r="AN53" s="12"/>
    </row>
    <row r="54" spans="1:40" ht="26.4" x14ac:dyDescent="0.25">
      <c r="A54" s="8"/>
      <c r="B54" s="2">
        <v>43</v>
      </c>
      <c r="C54" s="3">
        <v>12150</v>
      </c>
      <c r="D54" s="5">
        <v>2.2857142857142857E-2</v>
      </c>
      <c r="E54" s="3">
        <v>12</v>
      </c>
      <c r="F54" s="4">
        <v>0.87</v>
      </c>
      <c r="G54" s="3">
        <v>7957</v>
      </c>
      <c r="H54" s="3">
        <v>497</v>
      </c>
      <c r="I54" s="3" t="s">
        <v>19</v>
      </c>
      <c r="J54" s="8"/>
      <c r="K54" s="2">
        <v>43</v>
      </c>
      <c r="L54" s="3">
        <v>10206</v>
      </c>
      <c r="M54" s="5">
        <v>2.01E-2</v>
      </c>
      <c r="N54" s="3">
        <v>11</v>
      </c>
      <c r="O54" s="4">
        <v>0.93</v>
      </c>
      <c r="P54" s="3">
        <v>7002</v>
      </c>
      <c r="Q54" s="3">
        <v>770</v>
      </c>
      <c r="R54" s="3" t="s">
        <v>20</v>
      </c>
      <c r="S54" s="8"/>
      <c r="T54" s="2">
        <v>43</v>
      </c>
      <c r="U54" s="3">
        <v>12962</v>
      </c>
      <c r="V54" s="5">
        <v>2.2100000000000002E-2</v>
      </c>
      <c r="W54" s="3">
        <v>16</v>
      </c>
      <c r="X54" s="4">
        <v>0.87</v>
      </c>
      <c r="Y54" s="3">
        <v>7772</v>
      </c>
      <c r="Z54" s="3">
        <v>855</v>
      </c>
      <c r="AA54" s="3" t="s">
        <v>22</v>
      </c>
      <c r="AB54" s="8"/>
      <c r="AC54" s="2">
        <v>43</v>
      </c>
      <c r="AD54" s="3">
        <v>15820</v>
      </c>
      <c r="AE54" s="5">
        <v>2.2100000000000002E-2</v>
      </c>
      <c r="AF54" s="3">
        <v>18</v>
      </c>
      <c r="AG54" s="4">
        <v>0.87</v>
      </c>
      <c r="AH54" s="3">
        <v>8316</v>
      </c>
      <c r="AI54" s="3">
        <v>1350</v>
      </c>
      <c r="AJ54" s="3" t="s">
        <v>21</v>
      </c>
      <c r="AK54" s="8"/>
      <c r="AL54" s="12"/>
      <c r="AM54" s="12"/>
      <c r="AN54" s="12"/>
    </row>
    <row r="55" spans="1:40" ht="26.4" x14ac:dyDescent="0.25">
      <c r="A55" s="8"/>
      <c r="B55" s="2">
        <v>44</v>
      </c>
      <c r="C55" s="3">
        <v>11542</v>
      </c>
      <c r="D55" s="5">
        <v>1.4999999999999999E-2</v>
      </c>
      <c r="E55" s="3">
        <v>18</v>
      </c>
      <c r="F55" s="4">
        <v>0.85</v>
      </c>
      <c r="G55" s="3">
        <v>7842</v>
      </c>
      <c r="H55" s="3">
        <v>523</v>
      </c>
      <c r="I55" s="3" t="s">
        <v>19</v>
      </c>
      <c r="J55" s="8"/>
      <c r="K55" s="2">
        <v>44</v>
      </c>
      <c r="L55" s="3">
        <v>10157</v>
      </c>
      <c r="M55" s="5">
        <v>1.47E-2</v>
      </c>
      <c r="N55" s="3">
        <v>18</v>
      </c>
      <c r="O55" s="4">
        <v>0.85</v>
      </c>
      <c r="P55" s="3">
        <v>6666</v>
      </c>
      <c r="Q55" s="3">
        <v>1267</v>
      </c>
      <c r="R55" s="3" t="s">
        <v>20</v>
      </c>
      <c r="S55" s="8"/>
      <c r="T55" s="2">
        <v>44</v>
      </c>
      <c r="U55" s="3">
        <v>14118</v>
      </c>
      <c r="V55" s="5">
        <v>1.6299999999999999E-2</v>
      </c>
      <c r="W55" s="3">
        <v>25</v>
      </c>
      <c r="X55" s="4">
        <v>0.85</v>
      </c>
      <c r="Y55" s="3">
        <v>7266</v>
      </c>
      <c r="Z55" s="3">
        <v>1432</v>
      </c>
      <c r="AA55" s="3" t="s">
        <v>22</v>
      </c>
      <c r="AB55" s="8"/>
      <c r="AC55" s="2">
        <v>44</v>
      </c>
      <c r="AD55" s="3">
        <v>18777</v>
      </c>
      <c r="AE55" s="5">
        <v>0.02</v>
      </c>
      <c r="AF55" s="3">
        <v>28</v>
      </c>
      <c r="AG55" s="4">
        <v>0.85</v>
      </c>
      <c r="AH55" s="3">
        <v>8400</v>
      </c>
      <c r="AI55" s="3">
        <v>1690</v>
      </c>
      <c r="AJ55" s="3" t="s">
        <v>21</v>
      </c>
      <c r="AK55" s="8"/>
      <c r="AL55" s="12"/>
      <c r="AM55" s="12"/>
      <c r="AN55" s="12"/>
    </row>
    <row r="56" spans="1:40" ht="26.4" x14ac:dyDescent="0.25">
      <c r="A56" s="8"/>
      <c r="B56" s="2">
        <v>45</v>
      </c>
      <c r="C56" s="3">
        <v>11550</v>
      </c>
      <c r="D56" s="5">
        <v>0.03</v>
      </c>
      <c r="E56" s="3">
        <v>9</v>
      </c>
      <c r="F56" s="4">
        <v>0.84</v>
      </c>
      <c r="G56" s="3">
        <v>7550</v>
      </c>
      <c r="H56" s="3">
        <v>360</v>
      </c>
      <c r="I56" s="3" t="s">
        <v>19</v>
      </c>
      <c r="J56" s="8"/>
      <c r="K56" s="2">
        <v>45</v>
      </c>
      <c r="L56" s="3">
        <v>10280</v>
      </c>
      <c r="M56" s="5">
        <v>2.7300000000000001E-2</v>
      </c>
      <c r="N56" s="3">
        <v>19</v>
      </c>
      <c r="O56" s="4">
        <v>0.84</v>
      </c>
      <c r="P56" s="3">
        <v>6040</v>
      </c>
      <c r="Q56" s="3">
        <v>664</v>
      </c>
      <c r="R56" s="3" t="s">
        <v>20</v>
      </c>
      <c r="S56" s="8"/>
      <c r="T56" s="2">
        <v>45</v>
      </c>
      <c r="U56" s="3">
        <v>13056</v>
      </c>
      <c r="V56" s="5">
        <v>0.03</v>
      </c>
      <c r="W56" s="3">
        <v>25</v>
      </c>
      <c r="X56" s="4">
        <v>0.84</v>
      </c>
      <c r="Y56" s="3">
        <v>8580</v>
      </c>
      <c r="Z56" s="3">
        <v>1200</v>
      </c>
      <c r="AA56" s="3" t="s">
        <v>22</v>
      </c>
      <c r="AB56" s="8"/>
      <c r="AC56" s="2">
        <v>45</v>
      </c>
      <c r="AD56" s="3">
        <v>16059</v>
      </c>
      <c r="AE56" s="5">
        <v>0.03</v>
      </c>
      <c r="AF56" s="3">
        <v>27</v>
      </c>
      <c r="AG56" s="4">
        <v>0.84</v>
      </c>
      <c r="AH56" s="3">
        <v>9095</v>
      </c>
      <c r="AI56" s="3">
        <v>1404</v>
      </c>
      <c r="AJ56" s="3" t="s">
        <v>21</v>
      </c>
      <c r="AK56" s="8"/>
      <c r="AL56" s="12"/>
      <c r="AM56" s="12"/>
      <c r="AN56" s="12"/>
    </row>
    <row r="57" spans="1:40" ht="26.4" x14ac:dyDescent="0.25">
      <c r="A57" s="8"/>
      <c r="B57" s="2">
        <v>46</v>
      </c>
      <c r="C57" s="3">
        <v>10140</v>
      </c>
      <c r="D57" s="5">
        <v>3.7499999999999999E-2</v>
      </c>
      <c r="E57" s="3">
        <v>22</v>
      </c>
      <c r="F57" s="4">
        <v>0.78</v>
      </c>
      <c r="G57" s="3">
        <v>8213</v>
      </c>
      <c r="H57" s="3">
        <v>391</v>
      </c>
      <c r="I57" s="3" t="s">
        <v>19</v>
      </c>
      <c r="J57" s="8"/>
      <c r="K57" s="2">
        <v>46</v>
      </c>
      <c r="L57" s="3">
        <v>11240</v>
      </c>
      <c r="M57" s="5">
        <v>3.9800000000000002E-2</v>
      </c>
      <c r="N57" s="3">
        <v>21</v>
      </c>
      <c r="O57" s="4">
        <v>0.78</v>
      </c>
      <c r="P57" s="3">
        <v>6981</v>
      </c>
      <c r="Q57" s="3">
        <v>698</v>
      </c>
      <c r="R57" s="3" t="s">
        <v>20</v>
      </c>
      <c r="S57" s="8"/>
      <c r="T57" s="2">
        <v>46</v>
      </c>
      <c r="U57" s="3">
        <v>15399</v>
      </c>
      <c r="V57" s="5">
        <v>4.4200000000000003E-2</v>
      </c>
      <c r="W57" s="3">
        <v>33</v>
      </c>
      <c r="X57" s="4">
        <v>0.78</v>
      </c>
      <c r="Y57" s="3">
        <v>8307</v>
      </c>
      <c r="Z57" s="3">
        <v>1085</v>
      </c>
      <c r="AA57" s="3" t="s">
        <v>22</v>
      </c>
      <c r="AB57" s="8"/>
      <c r="AC57" s="2">
        <v>46</v>
      </c>
      <c r="AD57" s="3">
        <v>18017</v>
      </c>
      <c r="AE57" s="5">
        <v>4.4200000000000003E-2</v>
      </c>
      <c r="AF57" s="3">
        <v>40</v>
      </c>
      <c r="AG57" s="4">
        <v>0.85</v>
      </c>
      <c r="AH57" s="3">
        <v>9500</v>
      </c>
      <c r="AI57" s="3">
        <v>1350</v>
      </c>
      <c r="AJ57" s="3" t="s">
        <v>21</v>
      </c>
      <c r="AK57" s="8"/>
      <c r="AL57" s="12"/>
      <c r="AM57" s="12"/>
      <c r="AN57" s="12"/>
    </row>
    <row r="58" spans="1:40" ht="26.4" x14ac:dyDescent="0.25">
      <c r="A58" s="8"/>
      <c r="B58" s="2">
        <v>47</v>
      </c>
      <c r="C58" s="3">
        <v>10780</v>
      </c>
      <c r="D58" s="5">
        <v>1.4999999999999999E-2</v>
      </c>
      <c r="E58" s="3">
        <v>18</v>
      </c>
      <c r="F58" s="4">
        <v>0.83</v>
      </c>
      <c r="G58" s="3">
        <v>7658</v>
      </c>
      <c r="H58" s="3">
        <v>365</v>
      </c>
      <c r="I58" s="3" t="s">
        <v>19</v>
      </c>
      <c r="J58" s="8"/>
      <c r="K58" s="2">
        <v>47</v>
      </c>
      <c r="L58" s="3">
        <v>10558</v>
      </c>
      <c r="M58" s="5">
        <v>1.37E-2</v>
      </c>
      <c r="N58" s="3">
        <v>23</v>
      </c>
      <c r="O58" s="4">
        <v>0.83</v>
      </c>
      <c r="P58" s="3">
        <v>6892</v>
      </c>
      <c r="Q58" s="3">
        <v>1172</v>
      </c>
      <c r="R58" s="3" t="s">
        <v>20</v>
      </c>
      <c r="S58" s="8"/>
      <c r="T58" s="2">
        <v>47</v>
      </c>
      <c r="U58" s="3">
        <v>14359</v>
      </c>
      <c r="V58" s="5">
        <v>1.5299999999999999E-2</v>
      </c>
      <c r="W58" s="3">
        <v>36</v>
      </c>
      <c r="X58" s="4">
        <v>0.78</v>
      </c>
      <c r="Y58" s="3">
        <v>9560</v>
      </c>
      <c r="Z58" s="3">
        <v>1488</v>
      </c>
      <c r="AA58" s="3" t="s">
        <v>22</v>
      </c>
      <c r="AB58" s="8"/>
      <c r="AC58" s="2">
        <v>47</v>
      </c>
      <c r="AD58" s="3">
        <v>17231</v>
      </c>
      <c r="AE58" s="5">
        <v>2.3E-2</v>
      </c>
      <c r="AF58" s="3">
        <v>37</v>
      </c>
      <c r="AG58" s="4">
        <v>0.9</v>
      </c>
      <c r="AH58" s="3">
        <v>9082</v>
      </c>
      <c r="AI58" s="3">
        <v>2068</v>
      </c>
      <c r="AJ58" s="3" t="s">
        <v>21</v>
      </c>
      <c r="AK58" s="8"/>
      <c r="AL58" s="12"/>
      <c r="AM58" s="12"/>
      <c r="AN58" s="12"/>
    </row>
    <row r="59" spans="1:40" ht="26.4" x14ac:dyDescent="0.25">
      <c r="A59" s="8"/>
      <c r="B59" s="2">
        <v>48</v>
      </c>
      <c r="C59" s="3">
        <v>11210</v>
      </c>
      <c r="D59" s="5">
        <v>0.03</v>
      </c>
      <c r="E59" s="3">
        <v>22</v>
      </c>
      <c r="F59" s="4">
        <v>0.91</v>
      </c>
      <c r="G59" s="3">
        <v>8543</v>
      </c>
      <c r="H59" s="3">
        <v>503</v>
      </c>
      <c r="I59" s="3" t="s">
        <v>19</v>
      </c>
      <c r="J59" s="8"/>
      <c r="K59" s="2">
        <v>48</v>
      </c>
      <c r="L59" s="3">
        <v>10253</v>
      </c>
      <c r="M59" s="5">
        <v>2.9100000000000001E-2</v>
      </c>
      <c r="N59" s="3">
        <v>23</v>
      </c>
      <c r="O59" s="4">
        <v>0.91</v>
      </c>
      <c r="P59" s="3">
        <v>8714</v>
      </c>
      <c r="Q59" s="3">
        <v>1656</v>
      </c>
      <c r="R59" s="3" t="s">
        <v>20</v>
      </c>
      <c r="S59" s="8"/>
      <c r="T59" s="2">
        <v>48</v>
      </c>
      <c r="U59" s="3">
        <v>13800</v>
      </c>
      <c r="V59" s="5">
        <v>3.2000000000000001E-2</v>
      </c>
      <c r="W59" s="3">
        <v>34</v>
      </c>
      <c r="X59" s="4">
        <v>0.91</v>
      </c>
      <c r="Y59" s="3">
        <v>10631</v>
      </c>
      <c r="Z59" s="3">
        <v>1623</v>
      </c>
      <c r="AA59" s="3" t="s">
        <v>22</v>
      </c>
      <c r="AB59" s="8"/>
      <c r="AC59" s="2">
        <v>48</v>
      </c>
      <c r="AD59" s="3">
        <v>17664</v>
      </c>
      <c r="AE59" s="5">
        <v>3.2000000000000001E-2</v>
      </c>
      <c r="AF59" s="3">
        <v>36</v>
      </c>
      <c r="AG59" s="4">
        <v>0.91</v>
      </c>
      <c r="AH59" s="3">
        <v>9568</v>
      </c>
      <c r="AI59" s="3">
        <v>2094</v>
      </c>
      <c r="AJ59" s="3" t="s">
        <v>21</v>
      </c>
      <c r="AK59" s="8"/>
      <c r="AL59" s="12"/>
      <c r="AM59" s="12"/>
      <c r="AN59" s="12"/>
    </row>
    <row r="60" spans="1:40" ht="26.4" x14ac:dyDescent="0.25">
      <c r="A60" s="8"/>
      <c r="B60" s="2">
        <v>49</v>
      </c>
      <c r="C60" s="3">
        <v>11450</v>
      </c>
      <c r="D60" s="5">
        <v>2.1428571428571429E-2</v>
      </c>
      <c r="E60" s="3">
        <v>20</v>
      </c>
      <c r="F60" s="4">
        <v>0.91</v>
      </c>
      <c r="G60" s="3">
        <v>7818</v>
      </c>
      <c r="H60" s="3">
        <v>460</v>
      </c>
      <c r="I60" s="3" t="s">
        <v>19</v>
      </c>
      <c r="J60" s="8"/>
      <c r="K60" s="2">
        <v>49</v>
      </c>
      <c r="L60" s="3">
        <v>10850</v>
      </c>
      <c r="M60" s="5">
        <v>2.2100000000000002E-2</v>
      </c>
      <c r="N60" s="3">
        <v>18</v>
      </c>
      <c r="O60" s="4">
        <v>0.94</v>
      </c>
      <c r="P60" s="3">
        <v>7662</v>
      </c>
      <c r="Q60" s="3">
        <v>1149</v>
      </c>
      <c r="R60" s="3" t="s">
        <v>20</v>
      </c>
      <c r="S60" s="8"/>
      <c r="T60" s="2">
        <v>49</v>
      </c>
      <c r="U60" s="3">
        <v>15299</v>
      </c>
      <c r="V60" s="5">
        <v>2.4799999999999999E-2</v>
      </c>
      <c r="W60" s="3">
        <v>23</v>
      </c>
      <c r="X60" s="4">
        <v>0.91</v>
      </c>
      <c r="Y60" s="3">
        <v>9520</v>
      </c>
      <c r="Z60" s="3">
        <v>1287</v>
      </c>
      <c r="AA60" s="3" t="s">
        <v>22</v>
      </c>
      <c r="AB60" s="8"/>
      <c r="AC60" s="2">
        <v>49</v>
      </c>
      <c r="AD60" s="3">
        <v>18359</v>
      </c>
      <c r="AE60" s="5">
        <v>2.4799999999999999E-2</v>
      </c>
      <c r="AF60" s="3">
        <v>25</v>
      </c>
      <c r="AG60" s="4">
        <v>0.91</v>
      </c>
      <c r="AH60" s="3">
        <v>10186</v>
      </c>
      <c r="AI60" s="3">
        <v>1493</v>
      </c>
      <c r="AJ60" s="3" t="s">
        <v>21</v>
      </c>
      <c r="AK60" s="8"/>
      <c r="AL60" s="12"/>
      <c r="AM60" s="12"/>
      <c r="AN60" s="12"/>
    </row>
    <row r="61" spans="1:40" ht="26.4" x14ac:dyDescent="0.25">
      <c r="A61" s="8"/>
      <c r="B61" s="2">
        <v>50</v>
      </c>
      <c r="C61" s="3">
        <v>12520</v>
      </c>
      <c r="D61" s="5">
        <v>0.03</v>
      </c>
      <c r="E61" s="3">
        <v>11</v>
      </c>
      <c r="F61" s="4">
        <v>0.93</v>
      </c>
      <c r="G61" s="3">
        <v>7769</v>
      </c>
      <c r="H61" s="3">
        <v>370</v>
      </c>
      <c r="I61" s="3" t="s">
        <v>19</v>
      </c>
      <c r="J61" s="8"/>
      <c r="K61" s="2">
        <v>50</v>
      </c>
      <c r="L61" s="3">
        <v>10141</v>
      </c>
      <c r="M61" s="5">
        <v>2.7E-2</v>
      </c>
      <c r="N61" s="3">
        <v>17</v>
      </c>
      <c r="O61" s="4">
        <v>0.93</v>
      </c>
      <c r="P61" s="3">
        <v>6060</v>
      </c>
      <c r="Q61" s="3">
        <v>606</v>
      </c>
      <c r="R61" s="3" t="s">
        <v>20</v>
      </c>
      <c r="S61" s="8"/>
      <c r="T61" s="2">
        <v>50</v>
      </c>
      <c r="U61" s="3">
        <v>16520</v>
      </c>
      <c r="V61" s="5">
        <v>3.0200000000000001E-2</v>
      </c>
      <c r="W61" s="3">
        <v>26</v>
      </c>
      <c r="X61" s="4">
        <v>0.93</v>
      </c>
      <c r="Y61" s="3">
        <v>9000</v>
      </c>
      <c r="Z61" s="3">
        <v>1100</v>
      </c>
      <c r="AA61" s="3" t="s">
        <v>22</v>
      </c>
      <c r="AB61" s="8"/>
      <c r="AC61" s="2">
        <v>50</v>
      </c>
      <c r="AD61" s="3">
        <v>17200</v>
      </c>
      <c r="AE61" s="5">
        <v>3.0200000000000001E-2</v>
      </c>
      <c r="AF61" s="3">
        <v>31</v>
      </c>
      <c r="AG61" s="4">
        <v>0.93</v>
      </c>
      <c r="AH61" s="3">
        <v>9800</v>
      </c>
      <c r="AI61" s="3">
        <v>1496</v>
      </c>
      <c r="AJ61" s="3" t="s">
        <v>21</v>
      </c>
      <c r="AK61" s="8"/>
      <c r="AL61" s="12"/>
      <c r="AM61" s="12"/>
      <c r="AN61" s="12"/>
    </row>
    <row r="62" spans="1:40" ht="26.4" x14ac:dyDescent="0.25">
      <c r="A62" s="8"/>
      <c r="B62" s="2">
        <v>51</v>
      </c>
      <c r="C62" s="3">
        <v>11240</v>
      </c>
      <c r="D62" s="5">
        <v>1.2500000000000001E-2</v>
      </c>
      <c r="E62" s="3">
        <v>9</v>
      </c>
      <c r="F62" s="4">
        <v>0.82</v>
      </c>
      <c r="G62" s="3">
        <v>7168</v>
      </c>
      <c r="H62" s="3">
        <v>358</v>
      </c>
      <c r="I62" s="3" t="s">
        <v>19</v>
      </c>
      <c r="J62" s="8"/>
      <c r="K62" s="2">
        <v>51</v>
      </c>
      <c r="L62" s="3">
        <v>11000</v>
      </c>
      <c r="M62" s="5">
        <v>1.2E-2</v>
      </c>
      <c r="N62" s="3">
        <v>21</v>
      </c>
      <c r="O62" s="4">
        <v>0.9</v>
      </c>
      <c r="P62" s="3">
        <v>6021</v>
      </c>
      <c r="Q62" s="3">
        <v>1144</v>
      </c>
      <c r="R62" s="3" t="s">
        <v>20</v>
      </c>
      <c r="S62" s="8"/>
      <c r="T62" s="2">
        <v>51</v>
      </c>
      <c r="U62" s="3">
        <v>15290</v>
      </c>
      <c r="V62" s="5">
        <v>1.3299999999999999E-2</v>
      </c>
      <c r="W62" s="3">
        <v>28</v>
      </c>
      <c r="X62" s="4">
        <v>0.96</v>
      </c>
      <c r="Y62" s="3">
        <v>9250</v>
      </c>
      <c r="Z62" s="3">
        <v>1361</v>
      </c>
      <c r="AA62" s="3" t="s">
        <v>22</v>
      </c>
      <c r="AB62" s="8"/>
      <c r="AC62" s="2">
        <v>51</v>
      </c>
      <c r="AD62" s="3">
        <v>18500</v>
      </c>
      <c r="AE62" s="5">
        <v>0.02</v>
      </c>
      <c r="AF62" s="3">
        <v>27</v>
      </c>
      <c r="AG62" s="4">
        <v>0.96</v>
      </c>
      <c r="AH62" s="3">
        <v>9713</v>
      </c>
      <c r="AI62" s="3">
        <v>1552</v>
      </c>
      <c r="AJ62" s="3" t="s">
        <v>21</v>
      </c>
      <c r="AK62" s="8"/>
      <c r="AL62" s="12"/>
      <c r="AM62" s="12"/>
      <c r="AN62" s="12"/>
    </row>
    <row r="63" spans="1:40" ht="26.4" x14ac:dyDescent="0.25">
      <c r="A63" s="8"/>
      <c r="B63" s="2">
        <v>52</v>
      </c>
      <c r="C63" s="3">
        <v>11250</v>
      </c>
      <c r="D63" s="5">
        <v>1.4999999999999999E-2</v>
      </c>
      <c r="E63" s="3">
        <v>23</v>
      </c>
      <c r="F63" s="4">
        <v>0.92</v>
      </c>
      <c r="G63" s="3">
        <v>7796</v>
      </c>
      <c r="H63" s="3">
        <v>390</v>
      </c>
      <c r="I63" s="3" t="s">
        <v>19</v>
      </c>
      <c r="J63" s="8"/>
      <c r="K63" s="2">
        <v>52</v>
      </c>
      <c r="L63" s="3">
        <v>10350</v>
      </c>
      <c r="M63" s="5">
        <v>1.5599999999999999E-2</v>
      </c>
      <c r="N63" s="3">
        <v>22</v>
      </c>
      <c r="O63" s="4">
        <v>0.92</v>
      </c>
      <c r="P63" s="3">
        <v>6627</v>
      </c>
      <c r="Q63" s="3">
        <v>928</v>
      </c>
      <c r="R63" s="3" t="s">
        <v>20</v>
      </c>
      <c r="S63" s="8"/>
      <c r="T63" s="2">
        <v>52</v>
      </c>
      <c r="U63" s="3">
        <v>15200</v>
      </c>
      <c r="V63" s="5">
        <v>1.7500000000000002E-2</v>
      </c>
      <c r="W63" s="3">
        <v>27</v>
      </c>
      <c r="X63" s="4">
        <v>0.92</v>
      </c>
      <c r="Y63" s="3">
        <v>8800</v>
      </c>
      <c r="Z63" s="3">
        <v>1420</v>
      </c>
      <c r="AA63" s="3" t="s">
        <v>22</v>
      </c>
      <c r="AB63" s="8"/>
      <c r="AC63" s="2">
        <v>52</v>
      </c>
      <c r="AD63" s="3">
        <v>16112</v>
      </c>
      <c r="AE63" s="5">
        <v>0.03</v>
      </c>
      <c r="AF63" s="3">
        <v>27</v>
      </c>
      <c r="AG63" s="4">
        <v>0.92</v>
      </c>
      <c r="AH63" s="3">
        <v>9328</v>
      </c>
      <c r="AI63" s="3">
        <v>1874</v>
      </c>
      <c r="AJ63" s="3" t="s">
        <v>21</v>
      </c>
      <c r="AK63" s="8"/>
      <c r="AL63" s="12"/>
      <c r="AM63" s="12"/>
      <c r="AN63" s="12"/>
    </row>
  </sheetData>
  <mergeCells count="38">
    <mergeCell ref="AH9:AI9"/>
    <mergeCell ref="AM23:AN25"/>
    <mergeCell ref="AD8:AE8"/>
    <mergeCell ref="F9:G9"/>
    <mergeCell ref="N9:O9"/>
    <mergeCell ref="V9:W9"/>
    <mergeCell ref="AD9:AE9"/>
    <mergeCell ref="AA10:AF10"/>
    <mergeCell ref="AD3:AE3"/>
    <mergeCell ref="AD4:AE4"/>
    <mergeCell ref="AD5:AE5"/>
    <mergeCell ref="AD6:AE6"/>
    <mergeCell ref="AD7:AE7"/>
    <mergeCell ref="N6:O6"/>
    <mergeCell ref="N7:O7"/>
    <mergeCell ref="N8:O8"/>
    <mergeCell ref="V3:W3"/>
    <mergeCell ref="V4:W4"/>
    <mergeCell ref="V5:W5"/>
    <mergeCell ref="V6:W6"/>
    <mergeCell ref="V7:W7"/>
    <mergeCell ref="V8:W8"/>
    <mergeCell ref="AD2:AE2"/>
    <mergeCell ref="C10:H10"/>
    <mergeCell ref="F2:G2"/>
    <mergeCell ref="N2:O2"/>
    <mergeCell ref="K10:P10"/>
    <mergeCell ref="V2:W2"/>
    <mergeCell ref="S10:X10"/>
    <mergeCell ref="F4:G4"/>
    <mergeCell ref="F3:G3"/>
    <mergeCell ref="F5:G5"/>
    <mergeCell ref="F6:G6"/>
    <mergeCell ref="F7:G7"/>
    <mergeCell ref="F8:G8"/>
    <mergeCell ref="N3:O3"/>
    <mergeCell ref="N4:O4"/>
    <mergeCell ref="N5:O5"/>
  </mergeCells>
  <pageMargins left="0.7" right="0.7" top="0.75" bottom="0.75" header="0.3" footer="0.3"/>
  <pageSetup orientation="portrait" horizontalDpi="0" verticalDpi="0" r:id="rId1"/>
  <drawing r:id="rId2"/>
  <tableParts count="4">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6894-20B8-4343-9B71-5FE2C8A6374C}">
  <dimension ref="A1:U73"/>
  <sheetViews>
    <sheetView zoomScale="115" workbookViewId="0">
      <selection activeCell="N3" sqref="N3"/>
    </sheetView>
  </sheetViews>
  <sheetFormatPr defaultRowHeight="14.4" x14ac:dyDescent="0.3"/>
  <cols>
    <col min="1" max="1" width="17.6640625" bestFit="1" customWidth="1"/>
    <col min="2" max="2" width="15.5546875" bestFit="1" customWidth="1"/>
    <col min="3" max="3" width="8.44140625" bestFit="1" customWidth="1"/>
    <col min="4" max="5" width="7.77734375" bestFit="1" customWidth="1"/>
    <col min="6" max="6" width="10.77734375" bestFit="1" customWidth="1"/>
    <col min="7" max="7" width="27.109375" customWidth="1"/>
    <col min="8" max="8" width="14" customWidth="1"/>
    <col min="9" max="9" width="9" bestFit="1" customWidth="1"/>
    <col min="11" max="11" width="14.5546875" customWidth="1"/>
    <col min="12" max="13" width="15.5546875" bestFit="1" customWidth="1"/>
    <col min="14" max="14" width="8.44140625" bestFit="1" customWidth="1"/>
    <col min="15" max="15" width="7.6640625" bestFit="1" customWidth="1"/>
    <col min="16" max="16" width="5.6640625" bestFit="1" customWidth="1"/>
    <col min="17" max="17" width="10.77734375" bestFit="1" customWidth="1"/>
    <col min="18" max="18" width="4.6640625" customWidth="1"/>
    <col min="19" max="19" width="10.77734375" bestFit="1" customWidth="1"/>
    <col min="20" max="20" width="17.6640625" bestFit="1" customWidth="1"/>
    <col min="21" max="21" width="16.77734375" bestFit="1" customWidth="1"/>
    <col min="22" max="23" width="7.77734375" bestFit="1" customWidth="1"/>
    <col min="24" max="24" width="16.77734375" bestFit="1" customWidth="1"/>
    <col min="25" max="25" width="8.44140625" bestFit="1" customWidth="1"/>
    <col min="26" max="27" width="7.77734375" bestFit="1" customWidth="1"/>
    <col min="28" max="28" width="22.44140625" bestFit="1" customWidth="1"/>
    <col min="29" max="29" width="21.6640625" bestFit="1" customWidth="1"/>
    <col min="30" max="71" width="6.6640625" bestFit="1" customWidth="1"/>
    <col min="72" max="72" width="16.77734375" bestFit="1" customWidth="1"/>
    <col min="73" max="123" width="6.6640625" bestFit="1" customWidth="1"/>
    <col min="124" max="124" width="22.44140625" bestFit="1" customWidth="1"/>
    <col min="125" max="125" width="21.6640625" bestFit="1" customWidth="1"/>
  </cols>
  <sheetData>
    <row r="1" spans="1:21" x14ac:dyDescent="0.3">
      <c r="K1" t="s">
        <v>38</v>
      </c>
    </row>
    <row r="2" spans="1:21" x14ac:dyDescent="0.3">
      <c r="A2" t="s">
        <v>30</v>
      </c>
      <c r="B2" t="s">
        <v>31</v>
      </c>
      <c r="C2" t="s">
        <v>16</v>
      </c>
      <c r="D2" t="s">
        <v>32</v>
      </c>
      <c r="E2" t="s">
        <v>29</v>
      </c>
      <c r="F2" t="s">
        <v>26</v>
      </c>
      <c r="K2" s="27" t="str">
        <f t="shared" ref="K2:P3" si="0">A2</f>
        <v>Total Likes</v>
      </c>
      <c r="L2" s="27" t="str">
        <f t="shared" si="0"/>
        <v>total Post Reach</v>
      </c>
      <c r="M2" s="27" t="str">
        <f t="shared" si="0"/>
        <v>Total Impressions</v>
      </c>
      <c r="N2" s="27" t="str">
        <f t="shared" si="0"/>
        <v>Total New Fans</v>
      </c>
      <c r="O2" s="27" t="str">
        <f t="shared" si="0"/>
        <v>Average of Response Rate</v>
      </c>
      <c r="P2" s="27" t="str">
        <f t="shared" si="0"/>
        <v>Average of Engagement Rate</v>
      </c>
      <c r="Q2" s="27"/>
    </row>
    <row r="3" spans="1:21" x14ac:dyDescent="0.3">
      <c r="A3" s="17">
        <v>216038</v>
      </c>
      <c r="B3" s="17">
        <v>1643498</v>
      </c>
      <c r="C3" s="17">
        <v>2341079</v>
      </c>
      <c r="D3" s="20">
        <v>4195</v>
      </c>
      <c r="E3" s="19">
        <v>0.8487019230769236</v>
      </c>
      <c r="F3" s="18">
        <v>2.3492582417582401E-2</v>
      </c>
      <c r="K3" s="32">
        <f t="shared" si="0"/>
        <v>216038</v>
      </c>
      <c r="L3" s="32">
        <f t="shared" si="0"/>
        <v>1643498</v>
      </c>
      <c r="M3" s="32">
        <f t="shared" si="0"/>
        <v>2341079</v>
      </c>
      <c r="N3" s="32">
        <f t="shared" si="0"/>
        <v>4195</v>
      </c>
      <c r="O3" s="26">
        <f t="shared" si="0"/>
        <v>0.8487019230769236</v>
      </c>
      <c r="P3" s="26">
        <f t="shared" si="0"/>
        <v>2.3492582417582401E-2</v>
      </c>
    </row>
    <row r="5" spans="1:21" x14ac:dyDescent="0.3">
      <c r="A5" s="15" t="s">
        <v>24</v>
      </c>
      <c r="B5" t="s">
        <v>30</v>
      </c>
      <c r="C5" t="s">
        <v>31</v>
      </c>
      <c r="D5" t="s">
        <v>16</v>
      </c>
      <c r="E5" t="s">
        <v>32</v>
      </c>
      <c r="F5" t="s">
        <v>26</v>
      </c>
      <c r="G5" t="s">
        <v>29</v>
      </c>
    </row>
    <row r="6" spans="1:21" x14ac:dyDescent="0.3">
      <c r="A6" s="16" t="s">
        <v>19</v>
      </c>
      <c r="B6" s="17">
        <v>23516</v>
      </c>
      <c r="C6" s="17">
        <v>414739</v>
      </c>
      <c r="D6" s="17">
        <v>525047</v>
      </c>
      <c r="E6" s="17">
        <v>842</v>
      </c>
      <c r="F6" s="18">
        <v>2.2218406593406587E-2</v>
      </c>
      <c r="G6" s="18">
        <v>0.84288461538461523</v>
      </c>
    </row>
    <row r="7" spans="1:21" x14ac:dyDescent="0.3">
      <c r="A7" s="16" t="s">
        <v>22</v>
      </c>
      <c r="B7" s="17">
        <v>62610</v>
      </c>
      <c r="C7" s="17">
        <v>431067</v>
      </c>
      <c r="D7" s="17">
        <v>612149</v>
      </c>
      <c r="E7" s="17">
        <v>1193</v>
      </c>
      <c r="F7" s="18">
        <v>2.3603846153846149E-2</v>
      </c>
      <c r="G7" s="19">
        <v>0.85115384615384615</v>
      </c>
      <c r="L7" t="s">
        <v>41</v>
      </c>
    </row>
    <row r="8" spans="1:21" x14ac:dyDescent="0.3">
      <c r="A8" s="16" t="s">
        <v>20</v>
      </c>
      <c r="B8" s="17">
        <v>54101</v>
      </c>
      <c r="C8" s="17">
        <v>371601</v>
      </c>
      <c r="D8" s="17">
        <v>466294</v>
      </c>
      <c r="E8" s="17">
        <v>850</v>
      </c>
      <c r="F8" s="18">
        <v>2.1253846153846154E-2</v>
      </c>
      <c r="G8" s="19">
        <v>0.85057692307692301</v>
      </c>
      <c r="L8" s="15" t="s">
        <v>34</v>
      </c>
      <c r="M8" s="15" t="s">
        <v>27</v>
      </c>
      <c r="S8" s="15" t="s">
        <v>36</v>
      </c>
      <c r="T8" t="s">
        <v>25</v>
      </c>
      <c r="U8" t="s">
        <v>33</v>
      </c>
    </row>
    <row r="9" spans="1:21" x14ac:dyDescent="0.3">
      <c r="A9" s="16" t="s">
        <v>21</v>
      </c>
      <c r="B9" s="17">
        <v>75811</v>
      </c>
      <c r="C9" s="17">
        <v>426091</v>
      </c>
      <c r="D9" s="17">
        <v>737589</v>
      </c>
      <c r="E9" s="17">
        <v>1310</v>
      </c>
      <c r="F9" s="18">
        <v>2.6894230769230767E-2</v>
      </c>
      <c r="G9" s="19">
        <v>0.85019230769230769</v>
      </c>
      <c r="L9" s="15" t="s">
        <v>36</v>
      </c>
      <c r="M9" t="s">
        <v>19</v>
      </c>
      <c r="N9" t="s">
        <v>22</v>
      </c>
      <c r="O9" t="s">
        <v>20</v>
      </c>
      <c r="P9" t="s">
        <v>21</v>
      </c>
      <c r="Q9" t="s">
        <v>23</v>
      </c>
      <c r="S9" s="16">
        <v>1</v>
      </c>
      <c r="T9" s="17">
        <v>47791</v>
      </c>
      <c r="U9" s="17">
        <v>37573</v>
      </c>
    </row>
    <row r="10" spans="1:21" x14ac:dyDescent="0.3">
      <c r="A10" s="16" t="s">
        <v>23</v>
      </c>
      <c r="B10" s="17">
        <v>216038</v>
      </c>
      <c r="C10" s="17">
        <v>1643498</v>
      </c>
      <c r="D10" s="17">
        <v>2341079</v>
      </c>
      <c r="E10" s="17">
        <v>4195</v>
      </c>
      <c r="F10" s="18">
        <v>2.3492582417582397E-2</v>
      </c>
      <c r="G10" s="19">
        <v>0.84870192307692349</v>
      </c>
      <c r="L10" s="16">
        <v>1</v>
      </c>
      <c r="M10" s="17">
        <v>18</v>
      </c>
      <c r="N10" s="17">
        <v>23</v>
      </c>
      <c r="O10" s="17">
        <v>17</v>
      </c>
      <c r="P10" s="17">
        <v>27</v>
      </c>
      <c r="Q10" s="17">
        <v>85</v>
      </c>
      <c r="S10" s="16">
        <v>2</v>
      </c>
      <c r="T10" s="17">
        <v>42934</v>
      </c>
      <c r="U10" s="17">
        <v>36572</v>
      </c>
    </row>
    <row r="11" spans="1:21" x14ac:dyDescent="0.3">
      <c r="A11" s="16" t="s">
        <v>40</v>
      </c>
      <c r="L11" s="16">
        <v>2</v>
      </c>
      <c r="M11" s="17">
        <v>20</v>
      </c>
      <c r="N11" s="17">
        <v>30</v>
      </c>
      <c r="O11" s="17">
        <v>19</v>
      </c>
      <c r="P11" s="17">
        <v>33</v>
      </c>
      <c r="Q11" s="17">
        <v>102</v>
      </c>
      <c r="S11" s="16">
        <v>3</v>
      </c>
      <c r="T11" s="17">
        <v>44332</v>
      </c>
      <c r="U11" s="17">
        <v>29621</v>
      </c>
    </row>
    <row r="12" spans="1:21" x14ac:dyDescent="0.3">
      <c r="A12" s="15" t="s">
        <v>24</v>
      </c>
      <c r="B12" t="s">
        <v>30</v>
      </c>
      <c r="C12" t="s">
        <v>31</v>
      </c>
      <c r="D12" t="s">
        <v>16</v>
      </c>
      <c r="E12" t="s">
        <v>32</v>
      </c>
      <c r="L12" s="16">
        <v>3</v>
      </c>
      <c r="M12" s="17">
        <v>12</v>
      </c>
      <c r="N12" s="17">
        <v>15</v>
      </c>
      <c r="O12" s="17">
        <v>11</v>
      </c>
      <c r="P12" s="17">
        <v>18</v>
      </c>
      <c r="Q12" s="17">
        <v>56</v>
      </c>
      <c r="S12" s="16">
        <v>4</v>
      </c>
      <c r="T12" s="17">
        <v>44263</v>
      </c>
      <c r="U12" s="17">
        <v>31751</v>
      </c>
    </row>
    <row r="13" spans="1:21" x14ac:dyDescent="0.3">
      <c r="A13" s="16" t="s">
        <v>19</v>
      </c>
      <c r="B13" s="17">
        <v>23516</v>
      </c>
      <c r="C13" s="17">
        <v>414739</v>
      </c>
      <c r="D13" s="17">
        <v>525047</v>
      </c>
      <c r="E13" s="17">
        <v>842</v>
      </c>
      <c r="L13" s="16">
        <v>4</v>
      </c>
      <c r="M13" s="17">
        <v>12</v>
      </c>
      <c r="N13" s="17">
        <v>14</v>
      </c>
      <c r="O13" s="17">
        <v>11</v>
      </c>
      <c r="P13" s="17">
        <v>14</v>
      </c>
      <c r="Q13" s="17">
        <v>51</v>
      </c>
      <c r="S13" s="16">
        <v>5</v>
      </c>
      <c r="T13" s="17">
        <v>41180</v>
      </c>
      <c r="U13" s="17">
        <v>32686</v>
      </c>
    </row>
    <row r="14" spans="1:21" x14ac:dyDescent="0.3">
      <c r="A14" s="16" t="s">
        <v>22</v>
      </c>
      <c r="B14" s="17">
        <v>62610</v>
      </c>
      <c r="C14" s="17">
        <v>431067</v>
      </c>
      <c r="D14" s="17">
        <v>612149</v>
      </c>
      <c r="E14" s="17">
        <v>1193</v>
      </c>
      <c r="L14" s="16">
        <v>5</v>
      </c>
      <c r="M14" s="17">
        <v>10</v>
      </c>
      <c r="N14" s="17">
        <v>12</v>
      </c>
      <c r="O14" s="17">
        <v>10</v>
      </c>
      <c r="P14" s="17">
        <v>14</v>
      </c>
      <c r="Q14" s="17">
        <v>46</v>
      </c>
      <c r="S14" s="16">
        <v>6</v>
      </c>
      <c r="T14" s="17">
        <v>45876</v>
      </c>
      <c r="U14" s="17">
        <v>31197</v>
      </c>
    </row>
    <row r="15" spans="1:21" x14ac:dyDescent="0.3">
      <c r="A15" s="16" t="s">
        <v>20</v>
      </c>
      <c r="B15" s="17">
        <v>54101</v>
      </c>
      <c r="C15" s="17">
        <v>371601</v>
      </c>
      <c r="D15" s="17">
        <v>466294</v>
      </c>
      <c r="E15" s="17">
        <v>850</v>
      </c>
      <c r="L15" s="16">
        <v>6</v>
      </c>
      <c r="M15" s="17">
        <v>23</v>
      </c>
      <c r="N15" s="17">
        <v>34</v>
      </c>
      <c r="O15" s="17">
        <v>21</v>
      </c>
      <c r="P15" s="17">
        <v>35</v>
      </c>
      <c r="Q15" s="17">
        <v>113</v>
      </c>
      <c r="S15" s="16">
        <v>7</v>
      </c>
      <c r="T15" s="17">
        <v>37906</v>
      </c>
      <c r="U15" s="17">
        <v>30744</v>
      </c>
    </row>
    <row r="16" spans="1:21" x14ac:dyDescent="0.3">
      <c r="A16" s="16" t="s">
        <v>21</v>
      </c>
      <c r="B16" s="17">
        <v>75811</v>
      </c>
      <c r="C16" s="17">
        <v>426091</v>
      </c>
      <c r="D16" s="17">
        <v>737589</v>
      </c>
      <c r="E16" s="17">
        <v>1310</v>
      </c>
      <c r="L16" s="16">
        <v>7</v>
      </c>
      <c r="M16" s="17">
        <v>11</v>
      </c>
      <c r="N16" s="17">
        <v>18</v>
      </c>
      <c r="O16" s="17">
        <v>12</v>
      </c>
      <c r="P16" s="17">
        <v>21</v>
      </c>
      <c r="Q16" s="17">
        <v>62</v>
      </c>
      <c r="S16" s="16">
        <v>8</v>
      </c>
      <c r="T16" s="17">
        <v>50650</v>
      </c>
      <c r="U16" s="17">
        <v>33256</v>
      </c>
    </row>
    <row r="17" spans="1:21" x14ac:dyDescent="0.3">
      <c r="A17" s="16" t="s">
        <v>23</v>
      </c>
      <c r="B17" s="17">
        <v>216038</v>
      </c>
      <c r="C17" s="17">
        <v>1643498</v>
      </c>
      <c r="D17" s="17">
        <v>2341079</v>
      </c>
      <c r="E17" s="17">
        <v>4195</v>
      </c>
      <c r="L17" s="16">
        <v>8</v>
      </c>
      <c r="M17" s="17">
        <v>11</v>
      </c>
      <c r="N17" s="17">
        <v>15</v>
      </c>
      <c r="O17" s="17">
        <v>10</v>
      </c>
      <c r="P17" s="17">
        <v>16</v>
      </c>
      <c r="Q17" s="17">
        <v>52</v>
      </c>
      <c r="S17" s="16">
        <v>9</v>
      </c>
      <c r="T17" s="17">
        <v>41166</v>
      </c>
      <c r="U17" s="17">
        <v>33583</v>
      </c>
    </row>
    <row r="18" spans="1:21" x14ac:dyDescent="0.3">
      <c r="A18" s="16" t="s">
        <v>37</v>
      </c>
      <c r="L18" s="16">
        <v>9</v>
      </c>
      <c r="M18" s="17">
        <v>18</v>
      </c>
      <c r="N18" s="17">
        <v>27</v>
      </c>
      <c r="O18" s="17">
        <v>17</v>
      </c>
      <c r="P18" s="17">
        <v>28</v>
      </c>
      <c r="Q18" s="17">
        <v>90</v>
      </c>
      <c r="S18" s="16">
        <v>10</v>
      </c>
      <c r="T18" s="17">
        <v>48017</v>
      </c>
      <c r="U18" s="17">
        <v>29395</v>
      </c>
    </row>
    <row r="19" spans="1:21" x14ac:dyDescent="0.3">
      <c r="A19" s="15" t="s">
        <v>25</v>
      </c>
      <c r="B19" s="15" t="s">
        <v>27</v>
      </c>
      <c r="L19" s="16">
        <v>10</v>
      </c>
      <c r="M19" s="17">
        <v>15</v>
      </c>
      <c r="N19" s="17">
        <v>18</v>
      </c>
      <c r="O19" s="17">
        <v>14</v>
      </c>
      <c r="P19" s="17">
        <v>19</v>
      </c>
      <c r="Q19" s="17">
        <v>66</v>
      </c>
      <c r="S19" s="16">
        <v>11</v>
      </c>
      <c r="T19" s="17">
        <v>37568</v>
      </c>
      <c r="U19" s="17">
        <v>31236</v>
      </c>
    </row>
    <row r="20" spans="1:21" x14ac:dyDescent="0.3">
      <c r="A20" s="15" t="s">
        <v>36</v>
      </c>
      <c r="B20" t="s">
        <v>19</v>
      </c>
      <c r="C20" t="s">
        <v>22</v>
      </c>
      <c r="D20" t="s">
        <v>20</v>
      </c>
      <c r="E20" t="s">
        <v>21</v>
      </c>
      <c r="F20" t="s">
        <v>23</v>
      </c>
      <c r="L20" s="16">
        <v>11</v>
      </c>
      <c r="M20" s="17">
        <v>24</v>
      </c>
      <c r="N20" s="17">
        <v>35</v>
      </c>
      <c r="O20" s="17">
        <v>23</v>
      </c>
      <c r="P20" s="17">
        <v>35</v>
      </c>
      <c r="Q20" s="17">
        <v>117</v>
      </c>
      <c r="S20" s="16">
        <v>12</v>
      </c>
      <c r="T20" s="17">
        <v>43066</v>
      </c>
      <c r="U20" s="17">
        <v>36820</v>
      </c>
    </row>
    <row r="21" spans="1:21" x14ac:dyDescent="0.3">
      <c r="A21" s="16">
        <v>1</v>
      </c>
      <c r="B21" s="17">
        <v>10645</v>
      </c>
      <c r="C21" s="17">
        <v>12138</v>
      </c>
      <c r="D21" s="17">
        <v>10200</v>
      </c>
      <c r="E21" s="17">
        <v>14808</v>
      </c>
      <c r="F21" s="17">
        <v>47791</v>
      </c>
      <c r="L21" s="16">
        <v>12</v>
      </c>
      <c r="M21" s="17">
        <v>20</v>
      </c>
      <c r="N21" s="17">
        <v>33</v>
      </c>
      <c r="O21" s="17">
        <v>21</v>
      </c>
      <c r="P21" s="17">
        <v>36</v>
      </c>
      <c r="Q21" s="17">
        <v>110</v>
      </c>
      <c r="S21" s="16">
        <v>13</v>
      </c>
      <c r="T21" s="17">
        <v>44130</v>
      </c>
      <c r="U21" s="17">
        <v>40009</v>
      </c>
    </row>
    <row r="22" spans="1:21" x14ac:dyDescent="0.3">
      <c r="A22" s="16">
        <v>2</v>
      </c>
      <c r="B22" s="17">
        <v>10667</v>
      </c>
      <c r="C22" s="17">
        <v>10642</v>
      </c>
      <c r="D22" s="17">
        <v>9174</v>
      </c>
      <c r="E22" s="17">
        <v>12451</v>
      </c>
      <c r="F22" s="17">
        <v>42934</v>
      </c>
      <c r="L22" s="16">
        <v>13</v>
      </c>
      <c r="M22" s="17">
        <v>16</v>
      </c>
      <c r="N22" s="17">
        <v>24</v>
      </c>
      <c r="O22" s="17">
        <v>15</v>
      </c>
      <c r="P22" s="17">
        <v>25</v>
      </c>
      <c r="Q22" s="17">
        <v>80</v>
      </c>
      <c r="S22" s="16">
        <v>14</v>
      </c>
      <c r="T22" s="17">
        <v>46616</v>
      </c>
      <c r="U22" s="17">
        <v>29946</v>
      </c>
    </row>
    <row r="23" spans="1:21" x14ac:dyDescent="0.3">
      <c r="A23" s="16">
        <v>3</v>
      </c>
      <c r="B23" s="17">
        <v>8972</v>
      </c>
      <c r="C23" s="17">
        <v>12250</v>
      </c>
      <c r="D23" s="17">
        <v>8165</v>
      </c>
      <c r="E23" s="17">
        <v>14945</v>
      </c>
      <c r="F23" s="17">
        <v>44332</v>
      </c>
      <c r="L23" s="16">
        <v>14</v>
      </c>
      <c r="M23" s="17">
        <v>23</v>
      </c>
      <c r="N23" s="17">
        <v>26</v>
      </c>
      <c r="O23" s="17">
        <v>22</v>
      </c>
      <c r="P23" s="17">
        <v>31</v>
      </c>
      <c r="Q23" s="17">
        <v>102</v>
      </c>
      <c r="S23" s="16">
        <v>15</v>
      </c>
      <c r="T23" s="17">
        <v>35418</v>
      </c>
      <c r="U23" s="17">
        <v>25719</v>
      </c>
    </row>
    <row r="24" spans="1:21" x14ac:dyDescent="0.3">
      <c r="A24" s="16">
        <v>4</v>
      </c>
      <c r="B24" s="17">
        <v>9958</v>
      </c>
      <c r="C24" s="17">
        <v>12090</v>
      </c>
      <c r="D24" s="17">
        <v>9520</v>
      </c>
      <c r="E24" s="17">
        <v>12695</v>
      </c>
      <c r="F24" s="17">
        <v>44263</v>
      </c>
      <c r="G24" t="s">
        <v>39</v>
      </c>
      <c r="L24" s="16">
        <v>15</v>
      </c>
      <c r="M24" s="17">
        <v>10</v>
      </c>
      <c r="N24" s="17">
        <v>17</v>
      </c>
      <c r="O24" s="17">
        <v>11</v>
      </c>
      <c r="P24" s="17">
        <v>18</v>
      </c>
      <c r="Q24" s="17">
        <v>56</v>
      </c>
      <c r="S24" s="16">
        <v>16</v>
      </c>
      <c r="T24" s="17">
        <v>39969</v>
      </c>
      <c r="U24" s="17">
        <v>28389</v>
      </c>
    </row>
    <row r="25" spans="1:21" x14ac:dyDescent="0.3">
      <c r="A25" s="16">
        <v>5</v>
      </c>
      <c r="B25" s="17">
        <v>9636</v>
      </c>
      <c r="C25" s="17">
        <v>10840</v>
      </c>
      <c r="D25" s="17">
        <v>8672</v>
      </c>
      <c r="E25" s="17">
        <v>12032</v>
      </c>
      <c r="F25" s="17">
        <v>41180</v>
      </c>
      <c r="G25" s="15" t="s">
        <v>24</v>
      </c>
      <c r="H25" t="s">
        <v>29</v>
      </c>
      <c r="L25" s="16">
        <v>16</v>
      </c>
      <c r="M25" s="17">
        <v>24</v>
      </c>
      <c r="N25" s="17">
        <v>37</v>
      </c>
      <c r="O25" s="17">
        <v>25</v>
      </c>
      <c r="P25" s="17">
        <v>37</v>
      </c>
      <c r="Q25" s="17">
        <v>123</v>
      </c>
      <c r="S25" s="16">
        <v>17</v>
      </c>
      <c r="T25" s="17">
        <v>43937</v>
      </c>
      <c r="U25" s="17">
        <v>30432</v>
      </c>
    </row>
    <row r="26" spans="1:21" x14ac:dyDescent="0.3">
      <c r="A26" s="16">
        <v>6</v>
      </c>
      <c r="B26" s="17">
        <v>10054</v>
      </c>
      <c r="C26" s="17">
        <v>11802</v>
      </c>
      <c r="D26" s="17">
        <v>9149</v>
      </c>
      <c r="E26" s="17">
        <v>14871</v>
      </c>
      <c r="F26" s="17">
        <v>45876</v>
      </c>
      <c r="G26" s="16" t="s">
        <v>19</v>
      </c>
      <c r="H26" s="19">
        <v>0.84288461538461523</v>
      </c>
      <c r="L26" s="16">
        <v>17</v>
      </c>
      <c r="M26" s="17">
        <v>25</v>
      </c>
      <c r="N26" s="17">
        <v>36</v>
      </c>
      <c r="O26" s="17">
        <v>26</v>
      </c>
      <c r="P26" s="17">
        <v>39</v>
      </c>
      <c r="Q26" s="17">
        <v>126</v>
      </c>
      <c r="S26" s="16">
        <v>18</v>
      </c>
      <c r="T26" s="17">
        <v>39686</v>
      </c>
      <c r="U26" s="17">
        <v>26278</v>
      </c>
    </row>
    <row r="27" spans="1:21" x14ac:dyDescent="0.3">
      <c r="A27" s="16">
        <v>7</v>
      </c>
      <c r="B27" s="17">
        <v>9386</v>
      </c>
      <c r="C27" s="17">
        <v>9120</v>
      </c>
      <c r="D27" s="17">
        <v>8000</v>
      </c>
      <c r="E27" s="17">
        <v>11400</v>
      </c>
      <c r="F27" s="17">
        <v>37906</v>
      </c>
      <c r="G27" s="16" t="s">
        <v>22</v>
      </c>
      <c r="H27" s="19">
        <v>0.85115384615384615</v>
      </c>
      <c r="L27" s="16">
        <v>18</v>
      </c>
      <c r="M27" s="17">
        <v>12</v>
      </c>
      <c r="N27" s="17">
        <v>15</v>
      </c>
      <c r="O27" s="17">
        <v>11</v>
      </c>
      <c r="P27" s="17">
        <v>15</v>
      </c>
      <c r="Q27" s="17">
        <v>53</v>
      </c>
      <c r="S27" s="16">
        <v>19</v>
      </c>
      <c r="T27" s="17">
        <v>44009</v>
      </c>
      <c r="U27" s="17">
        <v>32688</v>
      </c>
    </row>
    <row r="28" spans="1:21" x14ac:dyDescent="0.3">
      <c r="A28" s="16">
        <v>8</v>
      </c>
      <c r="B28" s="17">
        <v>10231</v>
      </c>
      <c r="C28" s="17">
        <v>14520</v>
      </c>
      <c r="D28" s="17">
        <v>8185</v>
      </c>
      <c r="E28" s="17">
        <v>17714</v>
      </c>
      <c r="F28" s="17">
        <v>50650</v>
      </c>
      <c r="G28" s="16" t="s">
        <v>20</v>
      </c>
      <c r="H28" s="19">
        <v>0.85057692307692301</v>
      </c>
      <c r="L28" s="16">
        <v>19</v>
      </c>
      <c r="M28" s="17">
        <v>17</v>
      </c>
      <c r="N28" s="17">
        <v>22</v>
      </c>
      <c r="O28" s="17">
        <v>16</v>
      </c>
      <c r="P28" s="17">
        <v>22</v>
      </c>
      <c r="Q28" s="17">
        <v>77</v>
      </c>
      <c r="S28" s="16">
        <v>20</v>
      </c>
      <c r="T28" s="17">
        <v>47121</v>
      </c>
      <c r="U28" s="17">
        <v>30727</v>
      </c>
    </row>
    <row r="29" spans="1:21" x14ac:dyDescent="0.3">
      <c r="A29" s="16">
        <v>9</v>
      </c>
      <c r="B29" s="17">
        <v>9921</v>
      </c>
      <c r="C29" s="17">
        <v>10324</v>
      </c>
      <c r="D29" s="17">
        <v>8532</v>
      </c>
      <c r="E29" s="17">
        <v>12389</v>
      </c>
      <c r="F29" s="17">
        <v>41166</v>
      </c>
      <c r="G29" s="16" t="s">
        <v>21</v>
      </c>
      <c r="H29" s="19">
        <v>0.85019230769230769</v>
      </c>
      <c r="L29" s="16">
        <v>20</v>
      </c>
      <c r="M29" s="17">
        <v>23</v>
      </c>
      <c r="N29" s="17">
        <v>29</v>
      </c>
      <c r="O29" s="17">
        <v>22</v>
      </c>
      <c r="P29" s="17">
        <v>35</v>
      </c>
      <c r="Q29" s="17">
        <v>109</v>
      </c>
      <c r="S29" s="16">
        <v>21</v>
      </c>
      <c r="T29" s="17">
        <v>38742</v>
      </c>
      <c r="U29" s="17">
        <v>27375</v>
      </c>
    </row>
    <row r="30" spans="1:21" x14ac:dyDescent="0.3">
      <c r="A30" s="16">
        <v>10</v>
      </c>
      <c r="B30" s="17">
        <v>9000</v>
      </c>
      <c r="C30" s="17">
        <v>13580</v>
      </c>
      <c r="D30" s="17">
        <v>8190</v>
      </c>
      <c r="E30" s="17">
        <v>17247</v>
      </c>
      <c r="F30" s="17">
        <v>48017</v>
      </c>
      <c r="G30" s="16" t="s">
        <v>23</v>
      </c>
      <c r="H30" s="19">
        <v>0.84870192307692349</v>
      </c>
      <c r="L30" s="16">
        <v>21</v>
      </c>
      <c r="M30" s="17">
        <v>8</v>
      </c>
      <c r="N30" s="17">
        <v>10</v>
      </c>
      <c r="O30" s="17">
        <v>7</v>
      </c>
      <c r="P30" s="17">
        <v>12</v>
      </c>
      <c r="Q30" s="17">
        <v>37</v>
      </c>
      <c r="S30" s="16">
        <v>22</v>
      </c>
      <c r="T30" s="17">
        <v>43352</v>
      </c>
      <c r="U30" s="17">
        <v>30262</v>
      </c>
    </row>
    <row r="31" spans="1:21" x14ac:dyDescent="0.3">
      <c r="A31" s="16">
        <v>11</v>
      </c>
      <c r="B31" s="17">
        <v>9413</v>
      </c>
      <c r="C31" s="17">
        <v>9923</v>
      </c>
      <c r="D31" s="17">
        <v>7813</v>
      </c>
      <c r="E31" s="17">
        <v>10419</v>
      </c>
      <c r="F31" s="17">
        <v>37568</v>
      </c>
      <c r="L31" s="16">
        <v>22</v>
      </c>
      <c r="M31" s="17">
        <v>14</v>
      </c>
      <c r="N31" s="17">
        <v>18</v>
      </c>
      <c r="O31" s="17">
        <v>13</v>
      </c>
      <c r="P31" s="17">
        <v>19</v>
      </c>
      <c r="Q31" s="17">
        <v>64</v>
      </c>
      <c r="S31" s="16">
        <v>23</v>
      </c>
      <c r="T31" s="17">
        <v>39566</v>
      </c>
      <c r="U31" s="17">
        <v>27678</v>
      </c>
    </row>
    <row r="32" spans="1:21" x14ac:dyDescent="0.3">
      <c r="A32" s="16">
        <v>12</v>
      </c>
      <c r="B32" s="17">
        <v>10737</v>
      </c>
      <c r="C32" s="17">
        <v>10742</v>
      </c>
      <c r="D32" s="17">
        <v>9341</v>
      </c>
      <c r="E32" s="17">
        <v>12246</v>
      </c>
      <c r="F32" s="17">
        <v>43066</v>
      </c>
      <c r="L32" s="16">
        <v>23</v>
      </c>
      <c r="M32" s="17">
        <v>24</v>
      </c>
      <c r="N32" s="17">
        <v>32</v>
      </c>
      <c r="O32" s="17">
        <v>23</v>
      </c>
      <c r="P32" s="17">
        <v>39</v>
      </c>
      <c r="Q32" s="17">
        <v>118</v>
      </c>
      <c r="S32" s="16">
        <v>24</v>
      </c>
      <c r="T32" s="17">
        <v>50557</v>
      </c>
      <c r="U32" s="17">
        <v>32424</v>
      </c>
    </row>
    <row r="33" spans="1:21" x14ac:dyDescent="0.3">
      <c r="A33" s="16">
        <v>13</v>
      </c>
      <c r="B33" s="17">
        <v>10889</v>
      </c>
      <c r="C33" s="17">
        <v>11150</v>
      </c>
      <c r="D33" s="17">
        <v>8711</v>
      </c>
      <c r="E33" s="17">
        <v>13380</v>
      </c>
      <c r="F33" s="17">
        <v>44130</v>
      </c>
      <c r="L33" s="16">
        <v>24</v>
      </c>
      <c r="M33" s="17">
        <v>19</v>
      </c>
      <c r="N33" s="17">
        <v>24</v>
      </c>
      <c r="O33" s="17">
        <v>20</v>
      </c>
      <c r="P33" s="17">
        <v>29</v>
      </c>
      <c r="Q33" s="17">
        <v>92</v>
      </c>
      <c r="S33" s="16">
        <v>25</v>
      </c>
      <c r="T33" s="17">
        <v>47886</v>
      </c>
      <c r="U33" s="17">
        <v>32868</v>
      </c>
    </row>
    <row r="34" spans="1:21" x14ac:dyDescent="0.3">
      <c r="A34" s="16">
        <v>14</v>
      </c>
      <c r="B34" s="17">
        <v>10845</v>
      </c>
      <c r="C34" s="17">
        <v>11453</v>
      </c>
      <c r="D34" s="17">
        <v>9544</v>
      </c>
      <c r="E34" s="17">
        <v>14774</v>
      </c>
      <c r="F34" s="17">
        <v>46616</v>
      </c>
      <c r="L34" s="16">
        <v>25</v>
      </c>
      <c r="M34" s="17">
        <v>12</v>
      </c>
      <c r="N34" s="17">
        <v>19</v>
      </c>
      <c r="O34" s="17">
        <v>12</v>
      </c>
      <c r="P34" s="17">
        <v>20</v>
      </c>
      <c r="Q34" s="17">
        <v>63</v>
      </c>
      <c r="S34" s="16">
        <v>26</v>
      </c>
      <c r="T34" s="17">
        <v>40143</v>
      </c>
      <c r="U34" s="17">
        <v>32775</v>
      </c>
    </row>
    <row r="35" spans="1:21" x14ac:dyDescent="0.3">
      <c r="A35" s="16">
        <v>15</v>
      </c>
      <c r="B35" s="17">
        <v>8995</v>
      </c>
      <c r="C35" s="17">
        <v>8437</v>
      </c>
      <c r="D35" s="17">
        <v>7466</v>
      </c>
      <c r="E35" s="17">
        <v>10520</v>
      </c>
      <c r="F35" s="17">
        <v>35418</v>
      </c>
      <c r="L35" s="16">
        <v>26</v>
      </c>
      <c r="M35" s="17">
        <v>12</v>
      </c>
      <c r="N35" s="17">
        <v>18</v>
      </c>
      <c r="O35" s="17">
        <v>12</v>
      </c>
      <c r="P35" s="17">
        <v>20</v>
      </c>
      <c r="Q35" s="17">
        <v>62</v>
      </c>
      <c r="S35" s="16">
        <v>27</v>
      </c>
      <c r="T35" s="17">
        <v>41475</v>
      </c>
      <c r="U35" s="17">
        <v>34294</v>
      </c>
    </row>
    <row r="36" spans="1:21" x14ac:dyDescent="0.3">
      <c r="A36" s="16">
        <v>16</v>
      </c>
      <c r="B36" s="17">
        <v>8781</v>
      </c>
      <c r="C36" s="17">
        <v>10226</v>
      </c>
      <c r="D36" s="17">
        <v>7464</v>
      </c>
      <c r="E36" s="17">
        <v>13498</v>
      </c>
      <c r="F36" s="17">
        <v>39969</v>
      </c>
      <c r="L36" s="16">
        <v>27</v>
      </c>
      <c r="M36" s="17">
        <v>11</v>
      </c>
      <c r="N36" s="17">
        <v>16</v>
      </c>
      <c r="O36" s="17">
        <v>11</v>
      </c>
      <c r="P36" s="17">
        <v>19</v>
      </c>
      <c r="Q36" s="17">
        <v>57</v>
      </c>
      <c r="S36" s="16">
        <v>28</v>
      </c>
      <c r="T36" s="17">
        <v>38699</v>
      </c>
      <c r="U36" s="17">
        <v>29584</v>
      </c>
    </row>
    <row r="37" spans="1:21" x14ac:dyDescent="0.3">
      <c r="A37" s="16">
        <v>17</v>
      </c>
      <c r="B37" s="17">
        <v>10117</v>
      </c>
      <c r="C37" s="17">
        <v>10704</v>
      </c>
      <c r="D37" s="17">
        <v>9308</v>
      </c>
      <c r="E37" s="17">
        <v>13808</v>
      </c>
      <c r="F37" s="17">
        <v>43937</v>
      </c>
      <c r="L37" s="16">
        <v>28</v>
      </c>
      <c r="M37" s="17">
        <v>15</v>
      </c>
      <c r="N37" s="17">
        <v>17</v>
      </c>
      <c r="O37" s="17">
        <v>13</v>
      </c>
      <c r="P37" s="17">
        <v>20</v>
      </c>
      <c r="Q37" s="17">
        <v>65</v>
      </c>
      <c r="S37" s="16">
        <v>29</v>
      </c>
      <c r="T37" s="17">
        <v>44577</v>
      </c>
      <c r="U37" s="17">
        <v>30401</v>
      </c>
    </row>
    <row r="38" spans="1:21" x14ac:dyDescent="0.3">
      <c r="A38" s="16">
        <v>18</v>
      </c>
      <c r="B38" s="17">
        <v>9514</v>
      </c>
      <c r="C38" s="17">
        <v>10381</v>
      </c>
      <c r="D38" s="17">
        <v>8372</v>
      </c>
      <c r="E38" s="17">
        <v>11419</v>
      </c>
      <c r="F38" s="17">
        <v>39686</v>
      </c>
      <c r="L38" s="16">
        <v>29</v>
      </c>
      <c r="M38" s="17">
        <v>11</v>
      </c>
      <c r="N38" s="17">
        <v>16</v>
      </c>
      <c r="O38" s="17">
        <v>12</v>
      </c>
      <c r="P38" s="17">
        <v>20</v>
      </c>
      <c r="Q38" s="17">
        <v>59</v>
      </c>
      <c r="S38" s="16">
        <v>30</v>
      </c>
      <c r="T38" s="17">
        <v>41143</v>
      </c>
      <c r="U38" s="17">
        <v>32446</v>
      </c>
    </row>
    <row r="39" spans="1:21" x14ac:dyDescent="0.3">
      <c r="A39" s="16">
        <v>19</v>
      </c>
      <c r="B39" s="17">
        <v>9714</v>
      </c>
      <c r="C39" s="17">
        <v>11930</v>
      </c>
      <c r="D39" s="17">
        <v>8645</v>
      </c>
      <c r="E39" s="17">
        <v>13720</v>
      </c>
      <c r="F39" s="17">
        <v>44009</v>
      </c>
      <c r="L39" s="16">
        <v>30</v>
      </c>
      <c r="M39" s="17">
        <v>8</v>
      </c>
      <c r="N39" s="17">
        <v>9</v>
      </c>
      <c r="O39" s="17">
        <v>7</v>
      </c>
      <c r="P39" s="17">
        <v>11</v>
      </c>
      <c r="Q39" s="17">
        <v>35</v>
      </c>
      <c r="S39" s="16">
        <v>31</v>
      </c>
      <c r="T39" s="17">
        <v>39137</v>
      </c>
      <c r="U39" s="17">
        <v>28153</v>
      </c>
    </row>
    <row r="40" spans="1:21" x14ac:dyDescent="0.3">
      <c r="A40" s="16">
        <v>20</v>
      </c>
      <c r="B40" s="17">
        <v>9973</v>
      </c>
      <c r="C40" s="17">
        <v>12510</v>
      </c>
      <c r="D40" s="17">
        <v>9000</v>
      </c>
      <c r="E40" s="17">
        <v>15638</v>
      </c>
      <c r="F40" s="17">
        <v>47121</v>
      </c>
      <c r="L40" s="16">
        <v>31</v>
      </c>
      <c r="M40" s="17">
        <v>23</v>
      </c>
      <c r="N40" s="17">
        <v>34</v>
      </c>
      <c r="O40" s="17">
        <v>22</v>
      </c>
      <c r="P40" s="17">
        <v>35</v>
      </c>
      <c r="Q40" s="17">
        <v>114</v>
      </c>
      <c r="S40" s="16">
        <v>32</v>
      </c>
      <c r="T40" s="17">
        <v>43428</v>
      </c>
      <c r="U40" s="17">
        <v>29059</v>
      </c>
    </row>
    <row r="41" spans="1:21" x14ac:dyDescent="0.3">
      <c r="A41" s="16">
        <v>21</v>
      </c>
      <c r="B41" s="17">
        <v>8518</v>
      </c>
      <c r="C41" s="17">
        <v>10815</v>
      </c>
      <c r="D41" s="17">
        <v>7837</v>
      </c>
      <c r="E41" s="17">
        <v>11572</v>
      </c>
      <c r="F41" s="17">
        <v>38742</v>
      </c>
      <c r="L41" s="16">
        <v>32</v>
      </c>
      <c r="M41" s="17">
        <v>18</v>
      </c>
      <c r="N41" s="17">
        <v>23</v>
      </c>
      <c r="O41" s="17">
        <v>16</v>
      </c>
      <c r="P41" s="17">
        <v>24</v>
      </c>
      <c r="Q41" s="17">
        <v>81</v>
      </c>
      <c r="S41" s="16">
        <v>33</v>
      </c>
      <c r="T41" s="17">
        <v>44087</v>
      </c>
      <c r="U41" s="17">
        <v>32804</v>
      </c>
    </row>
    <row r="42" spans="1:21" x14ac:dyDescent="0.3">
      <c r="A42" s="16">
        <v>22</v>
      </c>
      <c r="B42" s="17">
        <v>10499</v>
      </c>
      <c r="C42" s="17">
        <v>11020</v>
      </c>
      <c r="D42" s="17">
        <v>8609</v>
      </c>
      <c r="E42" s="17">
        <v>13224</v>
      </c>
      <c r="F42" s="17">
        <v>43352</v>
      </c>
      <c r="L42" s="16">
        <v>33</v>
      </c>
      <c r="M42" s="17">
        <v>21</v>
      </c>
      <c r="N42" s="17">
        <v>29</v>
      </c>
      <c r="O42" s="17">
        <v>22</v>
      </c>
      <c r="P42" s="17">
        <v>29</v>
      </c>
      <c r="Q42" s="17">
        <v>101</v>
      </c>
      <c r="S42" s="16">
        <v>34</v>
      </c>
      <c r="T42" s="17">
        <v>42061</v>
      </c>
      <c r="U42" s="17">
        <v>28714</v>
      </c>
    </row>
    <row r="43" spans="1:21" x14ac:dyDescent="0.3">
      <c r="A43" s="16">
        <v>23</v>
      </c>
      <c r="B43" s="17">
        <v>9221</v>
      </c>
      <c r="C43" s="17">
        <v>10264</v>
      </c>
      <c r="D43" s="17">
        <v>8483</v>
      </c>
      <c r="E43" s="17">
        <v>11598</v>
      </c>
      <c r="F43" s="17">
        <v>39566</v>
      </c>
      <c r="L43" s="16">
        <v>34</v>
      </c>
      <c r="M43" s="17">
        <v>11</v>
      </c>
      <c r="N43" s="17">
        <v>13</v>
      </c>
      <c r="O43" s="17">
        <v>10</v>
      </c>
      <c r="P43" s="17">
        <v>16</v>
      </c>
      <c r="Q43" s="17">
        <v>50</v>
      </c>
      <c r="S43" s="16">
        <v>35</v>
      </c>
      <c r="T43" s="17">
        <v>39343</v>
      </c>
      <c r="U43" s="17">
        <v>24500</v>
      </c>
    </row>
    <row r="44" spans="1:21" x14ac:dyDescent="0.3">
      <c r="A44" s="16">
        <v>24</v>
      </c>
      <c r="B44" s="17">
        <v>10547</v>
      </c>
      <c r="C44" s="17">
        <v>14445</v>
      </c>
      <c r="D44" s="17">
        <v>9387</v>
      </c>
      <c r="E44" s="17">
        <v>16178</v>
      </c>
      <c r="F44" s="17">
        <v>50557</v>
      </c>
      <c r="L44" s="16">
        <v>35</v>
      </c>
      <c r="M44" s="17">
        <v>22</v>
      </c>
      <c r="N44" s="17">
        <v>26</v>
      </c>
      <c r="O44" s="17">
        <v>20</v>
      </c>
      <c r="P44" s="17">
        <v>31</v>
      </c>
      <c r="Q44" s="17">
        <v>99</v>
      </c>
      <c r="S44" s="16">
        <v>36</v>
      </c>
      <c r="T44" s="17">
        <v>41244</v>
      </c>
      <c r="U44" s="17">
        <v>31569</v>
      </c>
    </row>
    <row r="45" spans="1:21" x14ac:dyDescent="0.3">
      <c r="A45" s="16">
        <v>25</v>
      </c>
      <c r="B45" s="17">
        <v>10706</v>
      </c>
      <c r="C45" s="17">
        <v>11965</v>
      </c>
      <c r="D45" s="17">
        <v>9421</v>
      </c>
      <c r="E45" s="17">
        <v>15794</v>
      </c>
      <c r="F45" s="17">
        <v>47886</v>
      </c>
      <c r="L45" s="16">
        <v>36</v>
      </c>
      <c r="M45" s="17">
        <v>15</v>
      </c>
      <c r="N45" s="17">
        <v>22</v>
      </c>
      <c r="O45" s="17">
        <v>16</v>
      </c>
      <c r="P45" s="17">
        <v>22</v>
      </c>
      <c r="Q45" s="17">
        <v>75</v>
      </c>
      <c r="S45" s="16">
        <v>37</v>
      </c>
      <c r="T45" s="17">
        <v>40118</v>
      </c>
      <c r="U45" s="17">
        <v>36191</v>
      </c>
    </row>
    <row r="46" spans="1:21" x14ac:dyDescent="0.3">
      <c r="A46" s="16">
        <v>26</v>
      </c>
      <c r="B46" s="17">
        <v>9980</v>
      </c>
      <c r="C46" s="17">
        <v>10519</v>
      </c>
      <c r="D46" s="17">
        <v>8283</v>
      </c>
      <c r="E46" s="17">
        <v>11361</v>
      </c>
      <c r="F46" s="17">
        <v>40143</v>
      </c>
      <c r="L46" s="16">
        <v>37</v>
      </c>
      <c r="M46" s="17">
        <v>8</v>
      </c>
      <c r="N46" s="17">
        <v>10</v>
      </c>
      <c r="O46" s="17">
        <v>8</v>
      </c>
      <c r="P46" s="17">
        <v>11</v>
      </c>
      <c r="Q46" s="17">
        <v>37</v>
      </c>
      <c r="S46" s="16">
        <v>38</v>
      </c>
      <c r="T46" s="17">
        <v>45112</v>
      </c>
      <c r="U46" s="17">
        <v>29484</v>
      </c>
    </row>
    <row r="47" spans="1:21" x14ac:dyDescent="0.3">
      <c r="A47" s="16">
        <v>27</v>
      </c>
      <c r="B47" s="17">
        <v>9598</v>
      </c>
      <c r="C47" s="17">
        <v>10853</v>
      </c>
      <c r="D47" s="17">
        <v>9520</v>
      </c>
      <c r="E47" s="17">
        <v>11504</v>
      </c>
      <c r="F47" s="17">
        <v>41475</v>
      </c>
      <c r="L47" s="16">
        <v>38</v>
      </c>
      <c r="M47" s="17">
        <v>13</v>
      </c>
      <c r="N47" s="17">
        <v>16</v>
      </c>
      <c r="O47" s="17">
        <v>13</v>
      </c>
      <c r="P47" s="17">
        <v>19</v>
      </c>
      <c r="Q47" s="17">
        <v>61</v>
      </c>
      <c r="S47" s="16">
        <v>39</v>
      </c>
      <c r="T47" s="17">
        <v>40846</v>
      </c>
      <c r="U47" s="17">
        <v>33092</v>
      </c>
    </row>
    <row r="48" spans="1:21" x14ac:dyDescent="0.3">
      <c r="A48" s="16">
        <v>28</v>
      </c>
      <c r="B48" s="17">
        <v>9572</v>
      </c>
      <c r="C48" s="17">
        <v>9244</v>
      </c>
      <c r="D48" s="17">
        <v>8328</v>
      </c>
      <c r="E48" s="17">
        <v>11555</v>
      </c>
      <c r="F48" s="17">
        <v>38699</v>
      </c>
      <c r="L48" s="16">
        <v>39</v>
      </c>
      <c r="M48" s="17">
        <v>25</v>
      </c>
      <c r="N48" s="17">
        <v>29</v>
      </c>
      <c r="O48" s="17">
        <v>23</v>
      </c>
      <c r="P48" s="17">
        <v>34</v>
      </c>
      <c r="Q48" s="17">
        <v>111</v>
      </c>
      <c r="S48" s="16">
        <v>40</v>
      </c>
      <c r="T48" s="17">
        <v>38791</v>
      </c>
      <c r="U48" s="17">
        <v>27708</v>
      </c>
    </row>
    <row r="49" spans="1:21" x14ac:dyDescent="0.3">
      <c r="A49" s="16">
        <v>29</v>
      </c>
      <c r="B49" s="17">
        <v>8833</v>
      </c>
      <c r="C49" s="17">
        <v>12520</v>
      </c>
      <c r="D49" s="17">
        <v>7950</v>
      </c>
      <c r="E49" s="17">
        <v>15274</v>
      </c>
      <c r="F49" s="17">
        <v>44577</v>
      </c>
      <c r="L49" s="16">
        <v>40</v>
      </c>
      <c r="M49" s="17">
        <v>17</v>
      </c>
      <c r="N49" s="17">
        <v>27</v>
      </c>
      <c r="O49" s="17">
        <v>17</v>
      </c>
      <c r="P49" s="17">
        <v>31</v>
      </c>
      <c r="Q49" s="17">
        <v>92</v>
      </c>
      <c r="S49" s="16">
        <v>41</v>
      </c>
      <c r="T49" s="17">
        <v>49403</v>
      </c>
      <c r="U49" s="17">
        <v>30909</v>
      </c>
    </row>
    <row r="50" spans="1:21" x14ac:dyDescent="0.3">
      <c r="A50" s="16">
        <v>30</v>
      </c>
      <c r="B50" s="17">
        <v>9184</v>
      </c>
      <c r="C50" s="17">
        <v>10467</v>
      </c>
      <c r="D50" s="17">
        <v>7990</v>
      </c>
      <c r="E50" s="17">
        <v>13502</v>
      </c>
      <c r="F50" s="17">
        <v>41143</v>
      </c>
      <c r="L50" s="16">
        <v>41</v>
      </c>
      <c r="M50" s="17">
        <v>17</v>
      </c>
      <c r="N50" s="17">
        <v>20</v>
      </c>
      <c r="O50" s="17">
        <v>17</v>
      </c>
      <c r="P50" s="17">
        <v>22</v>
      </c>
      <c r="Q50" s="17">
        <v>76</v>
      </c>
      <c r="S50" s="16">
        <v>42</v>
      </c>
      <c r="T50" s="17">
        <v>47125</v>
      </c>
      <c r="U50" s="17">
        <v>33933</v>
      </c>
    </row>
    <row r="51" spans="1:21" x14ac:dyDescent="0.3">
      <c r="A51" s="16">
        <v>31</v>
      </c>
      <c r="B51" s="17">
        <v>8917</v>
      </c>
      <c r="C51" s="17">
        <v>10222</v>
      </c>
      <c r="D51" s="17">
        <v>7936</v>
      </c>
      <c r="E51" s="17">
        <v>12062</v>
      </c>
      <c r="F51" s="17">
        <v>39137</v>
      </c>
      <c r="L51" s="16">
        <v>42</v>
      </c>
      <c r="M51" s="17">
        <v>10</v>
      </c>
      <c r="N51" s="17">
        <v>12</v>
      </c>
      <c r="O51" s="17">
        <v>9</v>
      </c>
      <c r="P51" s="17">
        <v>13</v>
      </c>
      <c r="Q51" s="17">
        <v>44</v>
      </c>
      <c r="S51" s="16">
        <v>43</v>
      </c>
      <c r="T51" s="17">
        <v>51138</v>
      </c>
      <c r="U51" s="17">
        <v>31047</v>
      </c>
    </row>
    <row r="52" spans="1:21" x14ac:dyDescent="0.3">
      <c r="A52" s="16">
        <v>32</v>
      </c>
      <c r="B52" s="17">
        <v>9426</v>
      </c>
      <c r="C52" s="17">
        <v>11013</v>
      </c>
      <c r="D52" s="17">
        <v>8672</v>
      </c>
      <c r="E52" s="17">
        <v>14317</v>
      </c>
      <c r="F52" s="17">
        <v>43428</v>
      </c>
      <c r="L52" s="16">
        <v>43</v>
      </c>
      <c r="M52" s="17">
        <v>12</v>
      </c>
      <c r="N52" s="17">
        <v>16</v>
      </c>
      <c r="O52" s="17">
        <v>11</v>
      </c>
      <c r="P52" s="17">
        <v>18</v>
      </c>
      <c r="Q52" s="17">
        <v>57</v>
      </c>
      <c r="S52" s="16">
        <v>44</v>
      </c>
      <c r="T52" s="17">
        <v>54594</v>
      </c>
      <c r="U52" s="17">
        <v>30174</v>
      </c>
    </row>
    <row r="53" spans="1:21" x14ac:dyDescent="0.3">
      <c r="A53" s="16">
        <v>33</v>
      </c>
      <c r="B53" s="17">
        <v>10799</v>
      </c>
      <c r="C53" s="17">
        <v>10576</v>
      </c>
      <c r="D53" s="17">
        <v>8963</v>
      </c>
      <c r="E53" s="17">
        <v>13749</v>
      </c>
      <c r="F53" s="17">
        <v>44087</v>
      </c>
      <c r="L53" s="16">
        <v>44</v>
      </c>
      <c r="M53" s="17">
        <v>18</v>
      </c>
      <c r="N53" s="17">
        <v>25</v>
      </c>
      <c r="O53" s="17">
        <v>18</v>
      </c>
      <c r="P53" s="17">
        <v>28</v>
      </c>
      <c r="Q53" s="17">
        <v>89</v>
      </c>
      <c r="S53" s="16">
        <v>45</v>
      </c>
      <c r="T53" s="17">
        <v>50945</v>
      </c>
      <c r="U53" s="17">
        <v>31265</v>
      </c>
    </row>
    <row r="54" spans="1:21" x14ac:dyDescent="0.3">
      <c r="A54" s="16">
        <v>34</v>
      </c>
      <c r="B54" s="17">
        <v>9644</v>
      </c>
      <c r="C54" s="17">
        <v>10525</v>
      </c>
      <c r="D54" s="17">
        <v>8420</v>
      </c>
      <c r="E54" s="17">
        <v>13472</v>
      </c>
      <c r="F54" s="17">
        <v>42061</v>
      </c>
      <c r="L54" s="16">
        <v>45</v>
      </c>
      <c r="M54" s="17">
        <v>9</v>
      </c>
      <c r="N54" s="17">
        <v>25</v>
      </c>
      <c r="O54" s="17">
        <v>19</v>
      </c>
      <c r="P54" s="17">
        <v>27</v>
      </c>
      <c r="Q54" s="17">
        <v>80</v>
      </c>
      <c r="S54" s="16">
        <v>46</v>
      </c>
      <c r="T54" s="17">
        <v>54796</v>
      </c>
      <c r="U54" s="17">
        <v>33001</v>
      </c>
    </row>
    <row r="55" spans="1:21" x14ac:dyDescent="0.3">
      <c r="A55" s="16">
        <v>35</v>
      </c>
      <c r="B55" s="17">
        <v>8655</v>
      </c>
      <c r="C55" s="17">
        <v>11200</v>
      </c>
      <c r="D55" s="17">
        <v>7616</v>
      </c>
      <c r="E55" s="17">
        <v>11872</v>
      </c>
      <c r="F55" s="17">
        <v>39343</v>
      </c>
      <c r="L55" s="16">
        <v>46</v>
      </c>
      <c r="M55" s="17">
        <v>22</v>
      </c>
      <c r="N55" s="17">
        <v>33</v>
      </c>
      <c r="O55" s="17">
        <v>21</v>
      </c>
      <c r="P55" s="17">
        <v>40</v>
      </c>
      <c r="Q55" s="17">
        <v>116</v>
      </c>
      <c r="S55" s="16">
        <v>47</v>
      </c>
      <c r="T55" s="17">
        <v>52928</v>
      </c>
      <c r="U55" s="17">
        <v>33192</v>
      </c>
    </row>
    <row r="56" spans="1:21" x14ac:dyDescent="0.3">
      <c r="A56" s="16">
        <v>36</v>
      </c>
      <c r="B56" s="17">
        <v>9065</v>
      </c>
      <c r="C56" s="17">
        <v>11042</v>
      </c>
      <c r="D56" s="17">
        <v>7887</v>
      </c>
      <c r="E56" s="17">
        <v>13250</v>
      </c>
      <c r="F56" s="17">
        <v>41244</v>
      </c>
      <c r="L56" s="16">
        <v>47</v>
      </c>
      <c r="M56" s="17">
        <v>18</v>
      </c>
      <c r="N56" s="17">
        <v>36</v>
      </c>
      <c r="O56" s="17">
        <v>23</v>
      </c>
      <c r="P56" s="17">
        <v>37</v>
      </c>
      <c r="Q56" s="17">
        <v>114</v>
      </c>
      <c r="S56" s="16">
        <v>48</v>
      </c>
      <c r="T56" s="17">
        <v>52927</v>
      </c>
      <c r="U56" s="17">
        <v>37456</v>
      </c>
    </row>
    <row r="57" spans="1:21" x14ac:dyDescent="0.3">
      <c r="A57" s="16">
        <v>37</v>
      </c>
      <c r="B57" s="17">
        <v>10328</v>
      </c>
      <c r="C57" s="17">
        <v>9770</v>
      </c>
      <c r="D57" s="17">
        <v>8882</v>
      </c>
      <c r="E57" s="17">
        <v>11138</v>
      </c>
      <c r="F57" s="17">
        <v>40118</v>
      </c>
      <c r="L57" s="16">
        <v>48</v>
      </c>
      <c r="M57" s="17">
        <v>22</v>
      </c>
      <c r="N57" s="17">
        <v>34</v>
      </c>
      <c r="O57" s="17">
        <v>23</v>
      </c>
      <c r="P57" s="17">
        <v>36</v>
      </c>
      <c r="Q57" s="17">
        <v>115</v>
      </c>
      <c r="S57" s="16">
        <v>49</v>
      </c>
      <c r="T57" s="17">
        <v>55958</v>
      </c>
      <c r="U57" s="17">
        <v>35186</v>
      </c>
    </row>
    <row r="58" spans="1:21" x14ac:dyDescent="0.3">
      <c r="A58" s="16">
        <v>38</v>
      </c>
      <c r="B58" s="17">
        <v>9918</v>
      </c>
      <c r="C58" s="17">
        <v>11608</v>
      </c>
      <c r="D58" s="17">
        <v>8728</v>
      </c>
      <c r="E58" s="17">
        <v>14858</v>
      </c>
      <c r="F58" s="17">
        <v>45112</v>
      </c>
      <c r="L58" s="16">
        <v>49</v>
      </c>
      <c r="M58" s="17">
        <v>20</v>
      </c>
      <c r="N58" s="17">
        <v>23</v>
      </c>
      <c r="O58" s="17">
        <v>18</v>
      </c>
      <c r="P58" s="17">
        <v>25</v>
      </c>
      <c r="Q58" s="17">
        <v>86</v>
      </c>
      <c r="S58" s="16">
        <v>50</v>
      </c>
      <c r="T58" s="17">
        <v>56381</v>
      </c>
      <c r="U58" s="17">
        <v>32629</v>
      </c>
    </row>
    <row r="59" spans="1:21" x14ac:dyDescent="0.3">
      <c r="A59" s="16">
        <v>39</v>
      </c>
      <c r="B59" s="17">
        <v>9705</v>
      </c>
      <c r="C59" s="17">
        <v>9958</v>
      </c>
      <c r="D59" s="17">
        <v>8735</v>
      </c>
      <c r="E59" s="17">
        <v>12448</v>
      </c>
      <c r="F59" s="17">
        <v>40846</v>
      </c>
      <c r="L59" s="16">
        <v>50</v>
      </c>
      <c r="M59" s="17">
        <v>11</v>
      </c>
      <c r="N59" s="17">
        <v>26</v>
      </c>
      <c r="O59" s="17">
        <v>17</v>
      </c>
      <c r="P59" s="17">
        <v>31</v>
      </c>
      <c r="Q59" s="17">
        <v>85</v>
      </c>
      <c r="S59" s="16">
        <v>51</v>
      </c>
      <c r="T59" s="17">
        <v>56030</v>
      </c>
      <c r="U59" s="17">
        <v>32152</v>
      </c>
    </row>
    <row r="60" spans="1:21" x14ac:dyDescent="0.3">
      <c r="A60" s="16">
        <v>40</v>
      </c>
      <c r="B60" s="17">
        <v>8669</v>
      </c>
      <c r="C60" s="17">
        <v>8253</v>
      </c>
      <c r="D60" s="17">
        <v>7369</v>
      </c>
      <c r="E60" s="17">
        <v>14500</v>
      </c>
      <c r="F60" s="17">
        <v>38791</v>
      </c>
      <c r="L60" s="16">
        <v>51</v>
      </c>
      <c r="M60" s="17">
        <v>9</v>
      </c>
      <c r="N60" s="17">
        <v>28</v>
      </c>
      <c r="O60" s="17">
        <v>21</v>
      </c>
      <c r="P60" s="17">
        <v>27</v>
      </c>
      <c r="Q60" s="17">
        <v>85</v>
      </c>
      <c r="S60" s="16">
        <v>52</v>
      </c>
      <c r="T60" s="17">
        <v>52912</v>
      </c>
      <c r="U60" s="17">
        <v>32551</v>
      </c>
    </row>
    <row r="61" spans="1:21" x14ac:dyDescent="0.3">
      <c r="A61" s="16">
        <v>41</v>
      </c>
      <c r="B61" s="17">
        <v>11300</v>
      </c>
      <c r="C61" s="17">
        <v>13255</v>
      </c>
      <c r="D61" s="17">
        <v>9605</v>
      </c>
      <c r="E61" s="17">
        <v>15243</v>
      </c>
      <c r="F61" s="17">
        <v>49403</v>
      </c>
      <c r="L61" s="16">
        <v>52</v>
      </c>
      <c r="M61" s="17">
        <v>23</v>
      </c>
      <c r="N61" s="17">
        <v>27</v>
      </c>
      <c r="O61" s="17">
        <v>22</v>
      </c>
      <c r="P61" s="17">
        <v>27</v>
      </c>
      <c r="Q61" s="17">
        <v>99</v>
      </c>
      <c r="S61" s="16" t="s">
        <v>23</v>
      </c>
      <c r="T61" s="17">
        <v>2341079</v>
      </c>
      <c r="U61" s="17">
        <v>1643498</v>
      </c>
    </row>
    <row r="62" spans="1:21" x14ac:dyDescent="0.3">
      <c r="A62" s="16">
        <v>42</v>
      </c>
      <c r="B62" s="17">
        <v>10683</v>
      </c>
      <c r="C62" s="17">
        <v>11850</v>
      </c>
      <c r="D62" s="17">
        <v>9187</v>
      </c>
      <c r="E62" s="17">
        <v>15405</v>
      </c>
      <c r="F62" s="17">
        <v>47125</v>
      </c>
      <c r="L62" s="16" t="s">
        <v>23</v>
      </c>
      <c r="M62" s="17">
        <v>842</v>
      </c>
      <c r="N62" s="17">
        <v>1193</v>
      </c>
      <c r="O62" s="17">
        <v>850</v>
      </c>
      <c r="P62" s="17">
        <v>1310</v>
      </c>
      <c r="Q62" s="17">
        <v>4195</v>
      </c>
    </row>
    <row r="63" spans="1:21" x14ac:dyDescent="0.3">
      <c r="A63" s="16">
        <v>43</v>
      </c>
      <c r="B63" s="17">
        <v>12150</v>
      </c>
      <c r="C63" s="17">
        <v>12962</v>
      </c>
      <c r="D63" s="17">
        <v>10206</v>
      </c>
      <c r="E63" s="17">
        <v>15820</v>
      </c>
      <c r="F63" s="17">
        <v>51138</v>
      </c>
    </row>
    <row r="64" spans="1:21" x14ac:dyDescent="0.3">
      <c r="A64" s="16">
        <v>44</v>
      </c>
      <c r="B64" s="17">
        <v>11542</v>
      </c>
      <c r="C64" s="17">
        <v>14118</v>
      </c>
      <c r="D64" s="17">
        <v>10157</v>
      </c>
      <c r="E64" s="17">
        <v>18777</v>
      </c>
      <c r="F64" s="17">
        <v>54594</v>
      </c>
    </row>
    <row r="65" spans="1:6" x14ac:dyDescent="0.3">
      <c r="A65" s="16">
        <v>45</v>
      </c>
      <c r="B65" s="17">
        <v>11550</v>
      </c>
      <c r="C65" s="17">
        <v>13056</v>
      </c>
      <c r="D65" s="17">
        <v>10280</v>
      </c>
      <c r="E65" s="17">
        <v>16059</v>
      </c>
      <c r="F65" s="17">
        <v>50945</v>
      </c>
    </row>
    <row r="66" spans="1:6" x14ac:dyDescent="0.3">
      <c r="A66" s="16">
        <v>46</v>
      </c>
      <c r="B66" s="17">
        <v>10140</v>
      </c>
      <c r="C66" s="17">
        <v>15399</v>
      </c>
      <c r="D66" s="17">
        <v>11240</v>
      </c>
      <c r="E66" s="17">
        <v>18017</v>
      </c>
      <c r="F66" s="17">
        <v>54796</v>
      </c>
    </row>
    <row r="67" spans="1:6" x14ac:dyDescent="0.3">
      <c r="A67" s="16">
        <v>47</v>
      </c>
      <c r="B67" s="17">
        <v>10780</v>
      </c>
      <c r="C67" s="17">
        <v>14359</v>
      </c>
      <c r="D67" s="17">
        <v>10558</v>
      </c>
      <c r="E67" s="17">
        <v>17231</v>
      </c>
      <c r="F67" s="17">
        <v>52928</v>
      </c>
    </row>
    <row r="68" spans="1:6" x14ac:dyDescent="0.3">
      <c r="A68" s="16">
        <v>48</v>
      </c>
      <c r="B68" s="17">
        <v>11210</v>
      </c>
      <c r="C68" s="17">
        <v>13800</v>
      </c>
      <c r="D68" s="17">
        <v>10253</v>
      </c>
      <c r="E68" s="17">
        <v>17664</v>
      </c>
      <c r="F68" s="17">
        <v>52927</v>
      </c>
    </row>
    <row r="69" spans="1:6" x14ac:dyDescent="0.3">
      <c r="A69" s="16">
        <v>49</v>
      </c>
      <c r="B69" s="17">
        <v>11450</v>
      </c>
      <c r="C69" s="17">
        <v>15299</v>
      </c>
      <c r="D69" s="17">
        <v>10850</v>
      </c>
      <c r="E69" s="17">
        <v>18359</v>
      </c>
      <c r="F69" s="17">
        <v>55958</v>
      </c>
    </row>
    <row r="70" spans="1:6" x14ac:dyDescent="0.3">
      <c r="A70" s="16">
        <v>50</v>
      </c>
      <c r="B70" s="17">
        <v>12520</v>
      </c>
      <c r="C70" s="17">
        <v>16520</v>
      </c>
      <c r="D70" s="17">
        <v>10141</v>
      </c>
      <c r="E70" s="17">
        <v>17200</v>
      </c>
      <c r="F70" s="17">
        <v>56381</v>
      </c>
    </row>
    <row r="71" spans="1:6" x14ac:dyDescent="0.3">
      <c r="A71" s="16">
        <v>51</v>
      </c>
      <c r="B71" s="17">
        <v>11240</v>
      </c>
      <c r="C71" s="17">
        <v>15290</v>
      </c>
      <c r="D71" s="17">
        <v>11000</v>
      </c>
      <c r="E71" s="17">
        <v>18500</v>
      </c>
      <c r="F71" s="17">
        <v>56030</v>
      </c>
    </row>
    <row r="72" spans="1:6" x14ac:dyDescent="0.3">
      <c r="A72" s="16">
        <v>52</v>
      </c>
      <c r="B72" s="17">
        <v>11250</v>
      </c>
      <c r="C72" s="17">
        <v>15200</v>
      </c>
      <c r="D72" s="17">
        <v>10350</v>
      </c>
      <c r="E72" s="17">
        <v>16112</v>
      </c>
      <c r="F72" s="17">
        <v>52912</v>
      </c>
    </row>
    <row r="73" spans="1:6" x14ac:dyDescent="0.3">
      <c r="A73" s="16" t="s">
        <v>23</v>
      </c>
      <c r="B73" s="17">
        <v>525047</v>
      </c>
      <c r="C73" s="17">
        <v>612149</v>
      </c>
      <c r="D73" s="17">
        <v>466294</v>
      </c>
      <c r="E73" s="17">
        <v>737589</v>
      </c>
      <c r="F73" s="17">
        <v>2341079</v>
      </c>
    </row>
  </sheetData>
  <conditionalFormatting pivot="1" sqref="E6:E9">
    <cfRule type="top10" dxfId="359" priority="36" rank="1"/>
  </conditionalFormatting>
  <conditionalFormatting pivot="1" sqref="E6:E9">
    <cfRule type="top10" dxfId="358" priority="35" bottom="1" rank="1"/>
  </conditionalFormatting>
  <conditionalFormatting pivot="1" sqref="B6:B9">
    <cfRule type="top10" dxfId="357" priority="34" rank="1"/>
  </conditionalFormatting>
  <conditionalFormatting pivot="1" sqref="B6:B9">
    <cfRule type="top10" dxfId="356" priority="33" bottom="1" rank="1"/>
  </conditionalFormatting>
  <conditionalFormatting pivot="1" sqref="C6:C9">
    <cfRule type="top10" dxfId="355" priority="32" rank="1"/>
  </conditionalFormatting>
  <conditionalFormatting pivot="1" sqref="C6:C9">
    <cfRule type="top10" dxfId="354" priority="31" bottom="1" rank="1"/>
  </conditionalFormatting>
  <conditionalFormatting pivot="1" sqref="D6:D9">
    <cfRule type="top10" dxfId="353" priority="30" rank="1"/>
  </conditionalFormatting>
  <conditionalFormatting pivot="1" sqref="D6:D9">
    <cfRule type="top10" dxfId="352" priority="29" bottom="1" rank="1"/>
  </conditionalFormatting>
  <conditionalFormatting pivot="1" sqref="F6:F9">
    <cfRule type="top10" dxfId="351" priority="24" bottom="1" rank="1"/>
  </conditionalFormatting>
  <conditionalFormatting pivot="1" sqref="F6:F9">
    <cfRule type="top10" dxfId="350" priority="23" rank="1"/>
  </conditionalFormatting>
  <conditionalFormatting pivot="1" sqref="G6:G9">
    <cfRule type="top10" dxfId="349" priority="22" bottom="1" rank="1"/>
  </conditionalFormatting>
  <conditionalFormatting pivot="1" sqref="G6:G9">
    <cfRule type="top10" dxfId="348" priority="21" rank="1"/>
  </conditionalFormatting>
  <conditionalFormatting pivot="1" sqref="E13:E16">
    <cfRule type="top10" dxfId="347" priority="20" rank="1"/>
  </conditionalFormatting>
  <conditionalFormatting pivot="1" sqref="E13:E16">
    <cfRule type="top10" dxfId="346" priority="19" bottom="1" rank="1"/>
  </conditionalFormatting>
  <conditionalFormatting pivot="1" sqref="B13:B16">
    <cfRule type="top10" dxfId="345" priority="18" rank="1"/>
  </conditionalFormatting>
  <conditionalFormatting pivot="1" sqref="B13:B16">
    <cfRule type="top10" dxfId="344" priority="17" bottom="1" rank="1"/>
  </conditionalFormatting>
  <conditionalFormatting pivot="1" sqref="C13:C16">
    <cfRule type="top10" dxfId="343" priority="16" rank="1"/>
  </conditionalFormatting>
  <conditionalFormatting pivot="1" sqref="C13:C16">
    <cfRule type="top10" dxfId="342" priority="15" bottom="1" rank="1"/>
  </conditionalFormatting>
  <conditionalFormatting pivot="1" sqref="D13:D16">
    <cfRule type="top10" dxfId="341" priority="14" rank="1"/>
  </conditionalFormatting>
  <conditionalFormatting pivot="1" sqref="D13:D16">
    <cfRule type="top10" dxfId="340" priority="13" bottom="1" rank="1"/>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3A27-C23F-4212-BD5F-F9915F0324B0}">
  <dimension ref="B1:G3"/>
  <sheetViews>
    <sheetView tabSelected="1" zoomScale="49" zoomScaleNormal="48" workbookViewId="0">
      <selection activeCell="Y22" sqref="Y22"/>
    </sheetView>
  </sheetViews>
  <sheetFormatPr defaultRowHeight="14.4" x14ac:dyDescent="0.3"/>
  <cols>
    <col min="1" max="1" width="10" style="21" customWidth="1"/>
    <col min="2" max="16384" width="8.88671875" style="21"/>
  </cols>
  <sheetData>
    <row r="1" spans="2:7" ht="14.4" customHeight="1" x14ac:dyDescent="0.3"/>
    <row r="2" spans="2:7" ht="28.8" customHeight="1" x14ac:dyDescent="0.6">
      <c r="B2" s="22" t="s">
        <v>35</v>
      </c>
      <c r="C2" s="23"/>
      <c r="D2" s="23"/>
      <c r="E2" s="24"/>
      <c r="F2" s="24"/>
      <c r="G2" s="25"/>
    </row>
    <row r="3" spans="2:7" ht="22.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E185-6DE1-41F9-9798-ED903453E643}">
  <dimension ref="A1:H209"/>
  <sheetViews>
    <sheetView workbookViewId="0">
      <selection activeCell="J11" sqref="J11"/>
    </sheetView>
  </sheetViews>
  <sheetFormatPr defaultRowHeight="14.4" x14ac:dyDescent="0.3"/>
  <sheetData>
    <row r="1" spans="1:8" ht="26.4" x14ac:dyDescent="0.3">
      <c r="A1" s="1" t="s">
        <v>0</v>
      </c>
      <c r="B1" s="1" t="s">
        <v>1</v>
      </c>
      <c r="C1" s="1" t="s">
        <v>2</v>
      </c>
      <c r="D1" s="1" t="s">
        <v>28</v>
      </c>
      <c r="E1" s="1" t="s">
        <v>4</v>
      </c>
      <c r="F1" s="1" t="s">
        <v>5</v>
      </c>
      <c r="G1" s="1" t="s">
        <v>9</v>
      </c>
      <c r="H1" s="1" t="s">
        <v>18</v>
      </c>
    </row>
    <row r="2" spans="1:8" ht="26.4" x14ac:dyDescent="0.3">
      <c r="A2" s="2">
        <v>1</v>
      </c>
      <c r="B2" s="3">
        <v>10645</v>
      </c>
      <c r="C2" s="5">
        <v>3.7499999999999999E-2</v>
      </c>
      <c r="D2" s="3">
        <v>18</v>
      </c>
      <c r="E2" s="4">
        <v>0.82</v>
      </c>
      <c r="F2" s="3">
        <v>8942</v>
      </c>
      <c r="G2" s="3">
        <v>596</v>
      </c>
      <c r="H2" s="3" t="s">
        <v>19</v>
      </c>
    </row>
    <row r="3" spans="1:8" ht="26.4" x14ac:dyDescent="0.3">
      <c r="A3" s="2">
        <v>2</v>
      </c>
      <c r="B3" s="3">
        <v>10667</v>
      </c>
      <c r="C3" s="5">
        <v>2.2499999999999999E-2</v>
      </c>
      <c r="D3" s="3">
        <v>20</v>
      </c>
      <c r="E3" s="4">
        <v>0.79</v>
      </c>
      <c r="F3" s="3">
        <v>8854</v>
      </c>
      <c r="G3" s="3">
        <v>422</v>
      </c>
      <c r="H3" s="3" t="s">
        <v>19</v>
      </c>
    </row>
    <row r="4" spans="1:8" ht="26.4" x14ac:dyDescent="0.3">
      <c r="A4" s="2">
        <v>3</v>
      </c>
      <c r="B4" s="3">
        <v>8972</v>
      </c>
      <c r="C4" s="5">
        <v>0.01</v>
      </c>
      <c r="D4" s="3">
        <v>12</v>
      </c>
      <c r="E4" s="4">
        <v>0.8</v>
      </c>
      <c r="F4" s="3">
        <v>7178</v>
      </c>
      <c r="G4" s="3">
        <v>342</v>
      </c>
      <c r="H4" s="3" t="s">
        <v>19</v>
      </c>
    </row>
    <row r="5" spans="1:8" ht="26.4" x14ac:dyDescent="0.3">
      <c r="A5" s="2">
        <v>4</v>
      </c>
      <c r="B5" s="3">
        <v>9958</v>
      </c>
      <c r="C5" s="5">
        <v>0.03</v>
      </c>
      <c r="D5" s="3">
        <v>12</v>
      </c>
      <c r="E5" s="4">
        <v>0.83</v>
      </c>
      <c r="F5" s="3">
        <v>7966</v>
      </c>
      <c r="G5" s="3">
        <v>469</v>
      </c>
      <c r="H5" s="3" t="s">
        <v>19</v>
      </c>
    </row>
    <row r="6" spans="1:8" ht="26.4" x14ac:dyDescent="0.3">
      <c r="A6" s="2">
        <v>5</v>
      </c>
      <c r="B6" s="3">
        <v>9636</v>
      </c>
      <c r="C6" s="5">
        <v>2.2857142857142857E-2</v>
      </c>
      <c r="D6" s="3">
        <v>10</v>
      </c>
      <c r="E6" s="4">
        <v>0.88</v>
      </c>
      <c r="F6" s="3">
        <v>7805</v>
      </c>
      <c r="G6" s="3">
        <v>520</v>
      </c>
      <c r="H6" s="3" t="s">
        <v>19</v>
      </c>
    </row>
    <row r="7" spans="1:8" ht="26.4" x14ac:dyDescent="0.3">
      <c r="A7" s="2">
        <v>6</v>
      </c>
      <c r="B7" s="3">
        <v>10054</v>
      </c>
      <c r="C7" s="5">
        <v>2.2499999999999999E-2</v>
      </c>
      <c r="D7" s="3">
        <v>23</v>
      </c>
      <c r="E7" s="4">
        <v>0.78</v>
      </c>
      <c r="F7" s="3">
        <v>8043</v>
      </c>
      <c r="G7" s="3">
        <v>447</v>
      </c>
      <c r="H7" s="3" t="s">
        <v>19</v>
      </c>
    </row>
    <row r="8" spans="1:8" ht="26.4" x14ac:dyDescent="0.3">
      <c r="A8" s="2">
        <v>7</v>
      </c>
      <c r="B8" s="3">
        <v>9386</v>
      </c>
      <c r="C8" s="5">
        <v>2.2499999999999999E-2</v>
      </c>
      <c r="D8" s="3">
        <v>11</v>
      </c>
      <c r="E8" s="4">
        <v>0.78</v>
      </c>
      <c r="F8" s="3">
        <v>7697</v>
      </c>
      <c r="G8" s="3">
        <v>385</v>
      </c>
      <c r="H8" s="3" t="s">
        <v>19</v>
      </c>
    </row>
    <row r="9" spans="1:8" ht="26.4" x14ac:dyDescent="0.3">
      <c r="A9" s="2">
        <v>8</v>
      </c>
      <c r="B9" s="3">
        <v>10231</v>
      </c>
      <c r="C9" s="5">
        <v>1.714285714285714E-2</v>
      </c>
      <c r="D9" s="3">
        <v>11</v>
      </c>
      <c r="E9" s="4">
        <v>0.79</v>
      </c>
      <c r="F9" s="3">
        <v>8696</v>
      </c>
      <c r="G9" s="3">
        <v>458</v>
      </c>
      <c r="H9" s="3" t="s">
        <v>19</v>
      </c>
    </row>
    <row r="10" spans="1:8" ht="26.4" x14ac:dyDescent="0.3">
      <c r="A10" s="2">
        <v>9</v>
      </c>
      <c r="B10" s="3">
        <v>9921</v>
      </c>
      <c r="C10" s="5">
        <v>2.571428571428571E-2</v>
      </c>
      <c r="D10" s="3">
        <v>18</v>
      </c>
      <c r="E10" s="4">
        <v>0.78</v>
      </c>
      <c r="F10" s="3">
        <v>8433</v>
      </c>
      <c r="G10" s="3">
        <v>562</v>
      </c>
      <c r="H10" s="3" t="s">
        <v>19</v>
      </c>
    </row>
    <row r="11" spans="1:8" ht="26.4" x14ac:dyDescent="0.3">
      <c r="A11" s="2">
        <v>10</v>
      </c>
      <c r="B11" s="3">
        <v>9000</v>
      </c>
      <c r="C11" s="5">
        <v>2.2857142857142857E-2</v>
      </c>
      <c r="D11" s="3">
        <v>15</v>
      </c>
      <c r="E11" s="4">
        <v>0.79</v>
      </c>
      <c r="F11" s="3">
        <v>7380</v>
      </c>
      <c r="G11" s="3">
        <v>388</v>
      </c>
      <c r="H11" s="3" t="s">
        <v>19</v>
      </c>
    </row>
    <row r="12" spans="1:8" ht="26.4" x14ac:dyDescent="0.3">
      <c r="A12" s="2">
        <v>11</v>
      </c>
      <c r="B12" s="3">
        <v>9413</v>
      </c>
      <c r="C12" s="5">
        <v>7.4999999999999997E-3</v>
      </c>
      <c r="D12" s="3">
        <v>24</v>
      </c>
      <c r="E12" s="4">
        <v>0.82</v>
      </c>
      <c r="F12" s="3">
        <v>7625</v>
      </c>
      <c r="G12" s="3">
        <v>449</v>
      </c>
      <c r="H12" s="3" t="s">
        <v>19</v>
      </c>
    </row>
    <row r="13" spans="1:8" ht="26.4" x14ac:dyDescent="0.3">
      <c r="A13" s="2">
        <v>12</v>
      </c>
      <c r="B13" s="3">
        <v>10737</v>
      </c>
      <c r="C13" s="5">
        <v>2.1428571428571429E-2</v>
      </c>
      <c r="D13" s="3">
        <v>20</v>
      </c>
      <c r="E13" s="4">
        <v>0.8</v>
      </c>
      <c r="F13" s="3">
        <v>8697</v>
      </c>
      <c r="G13" s="3">
        <v>580</v>
      </c>
      <c r="H13" s="3" t="s">
        <v>19</v>
      </c>
    </row>
    <row r="14" spans="1:8" ht="26.4" x14ac:dyDescent="0.3">
      <c r="A14" s="2">
        <v>13</v>
      </c>
      <c r="B14" s="3">
        <v>10889</v>
      </c>
      <c r="C14" s="5">
        <v>2.571428571428571E-2</v>
      </c>
      <c r="D14" s="3">
        <v>16</v>
      </c>
      <c r="E14" s="4">
        <v>0.85</v>
      </c>
      <c r="F14" s="3">
        <v>9038</v>
      </c>
      <c r="G14" s="3">
        <v>452</v>
      </c>
      <c r="H14" s="3" t="s">
        <v>19</v>
      </c>
    </row>
    <row r="15" spans="1:8" ht="26.4" x14ac:dyDescent="0.3">
      <c r="A15" s="2">
        <v>14</v>
      </c>
      <c r="B15" s="3">
        <v>10845</v>
      </c>
      <c r="C15" s="5">
        <v>3.428571428571428E-2</v>
      </c>
      <c r="D15" s="3">
        <v>23</v>
      </c>
      <c r="E15" s="4">
        <v>0.86</v>
      </c>
      <c r="F15" s="3">
        <v>8893</v>
      </c>
      <c r="G15" s="3">
        <v>445</v>
      </c>
      <c r="H15" s="3" t="s">
        <v>19</v>
      </c>
    </row>
    <row r="16" spans="1:8" ht="26.4" x14ac:dyDescent="0.3">
      <c r="A16" s="2">
        <v>15</v>
      </c>
      <c r="B16" s="3">
        <v>8995</v>
      </c>
      <c r="C16" s="5">
        <v>1.714285714285714E-2</v>
      </c>
      <c r="D16" s="3">
        <v>10</v>
      </c>
      <c r="E16" s="4">
        <v>0.87</v>
      </c>
      <c r="F16" s="3">
        <v>7196</v>
      </c>
      <c r="G16" s="3">
        <v>379</v>
      </c>
      <c r="H16" s="3" t="s">
        <v>19</v>
      </c>
    </row>
    <row r="17" spans="1:8" ht="26.4" x14ac:dyDescent="0.3">
      <c r="A17" s="2">
        <v>16</v>
      </c>
      <c r="B17" s="3">
        <v>8781</v>
      </c>
      <c r="C17" s="5">
        <v>2.571428571428571E-2</v>
      </c>
      <c r="D17" s="3">
        <v>24</v>
      </c>
      <c r="E17" s="4">
        <v>0.78</v>
      </c>
      <c r="F17" s="3">
        <v>7113</v>
      </c>
      <c r="G17" s="3">
        <v>374</v>
      </c>
      <c r="H17" s="3" t="s">
        <v>19</v>
      </c>
    </row>
    <row r="18" spans="1:8" ht="26.4" x14ac:dyDescent="0.3">
      <c r="A18" s="2">
        <v>17</v>
      </c>
      <c r="B18" s="3">
        <v>10117</v>
      </c>
      <c r="C18" s="5">
        <v>1.714285714285714E-2</v>
      </c>
      <c r="D18" s="3">
        <v>25</v>
      </c>
      <c r="E18" s="4">
        <v>0.86</v>
      </c>
      <c r="F18" s="3">
        <v>8296</v>
      </c>
      <c r="G18" s="3">
        <v>461</v>
      </c>
      <c r="H18" s="3" t="s">
        <v>19</v>
      </c>
    </row>
    <row r="19" spans="1:8" ht="26.4" x14ac:dyDescent="0.3">
      <c r="A19" s="2">
        <v>18</v>
      </c>
      <c r="B19" s="3">
        <v>9514</v>
      </c>
      <c r="C19" s="5">
        <v>1.2857142857142855E-2</v>
      </c>
      <c r="D19" s="3">
        <v>12</v>
      </c>
      <c r="E19" s="4">
        <v>0.85</v>
      </c>
      <c r="F19" s="3">
        <v>7706</v>
      </c>
      <c r="G19" s="3">
        <v>428</v>
      </c>
      <c r="H19" s="3" t="s">
        <v>19</v>
      </c>
    </row>
    <row r="20" spans="1:8" ht="26.4" x14ac:dyDescent="0.3">
      <c r="A20" s="2">
        <v>19</v>
      </c>
      <c r="B20" s="3">
        <v>9714</v>
      </c>
      <c r="C20" s="5">
        <v>3.5714285714285719E-2</v>
      </c>
      <c r="D20" s="3">
        <v>17</v>
      </c>
      <c r="E20" s="4">
        <v>0.87</v>
      </c>
      <c r="F20" s="3">
        <v>8160</v>
      </c>
      <c r="G20" s="3">
        <v>480</v>
      </c>
      <c r="H20" s="3" t="s">
        <v>19</v>
      </c>
    </row>
    <row r="21" spans="1:8" ht="26.4" x14ac:dyDescent="0.3">
      <c r="A21" s="2">
        <v>20</v>
      </c>
      <c r="B21" s="3">
        <v>9973</v>
      </c>
      <c r="C21" s="5">
        <v>0.03</v>
      </c>
      <c r="D21" s="3">
        <v>23</v>
      </c>
      <c r="E21" s="4">
        <v>0.78</v>
      </c>
      <c r="F21" s="3">
        <v>8477</v>
      </c>
      <c r="G21" s="3">
        <v>471</v>
      </c>
      <c r="H21" s="3" t="s">
        <v>19</v>
      </c>
    </row>
    <row r="22" spans="1:8" ht="26.4" x14ac:dyDescent="0.3">
      <c r="A22" s="2">
        <v>21</v>
      </c>
      <c r="B22" s="3">
        <v>8518</v>
      </c>
      <c r="C22" s="5">
        <v>1.4999999999999999E-2</v>
      </c>
      <c r="D22" s="3">
        <v>8</v>
      </c>
      <c r="E22" s="4">
        <v>0.88</v>
      </c>
      <c r="F22" s="3">
        <v>7240</v>
      </c>
      <c r="G22" s="3">
        <v>381</v>
      </c>
      <c r="H22" s="3" t="s">
        <v>19</v>
      </c>
    </row>
    <row r="23" spans="1:8" ht="26.4" x14ac:dyDescent="0.3">
      <c r="A23" s="2">
        <v>22</v>
      </c>
      <c r="B23" s="3">
        <v>10499</v>
      </c>
      <c r="C23" s="5">
        <v>4.2857142857142858E-2</v>
      </c>
      <c r="D23" s="3">
        <v>14</v>
      </c>
      <c r="E23" s="4">
        <v>0.81</v>
      </c>
      <c r="F23" s="3">
        <v>8399</v>
      </c>
      <c r="G23" s="3">
        <v>494</v>
      </c>
      <c r="H23" s="3" t="s">
        <v>19</v>
      </c>
    </row>
    <row r="24" spans="1:8" ht="26.4" x14ac:dyDescent="0.3">
      <c r="A24" s="2">
        <v>23</v>
      </c>
      <c r="B24" s="3">
        <v>9221</v>
      </c>
      <c r="C24" s="5">
        <v>1.4999999999999999E-2</v>
      </c>
      <c r="D24" s="3">
        <v>24</v>
      </c>
      <c r="E24" s="4">
        <v>0.79</v>
      </c>
      <c r="F24" s="3">
        <v>7561</v>
      </c>
      <c r="G24" s="3">
        <v>398</v>
      </c>
      <c r="H24" s="3" t="s">
        <v>19</v>
      </c>
    </row>
    <row r="25" spans="1:8" ht="26.4" x14ac:dyDescent="0.3">
      <c r="A25" s="2">
        <v>24</v>
      </c>
      <c r="B25" s="3">
        <v>10547</v>
      </c>
      <c r="C25" s="5">
        <v>3.428571428571428E-2</v>
      </c>
      <c r="D25" s="3">
        <v>19</v>
      </c>
      <c r="E25" s="4">
        <v>0.83</v>
      </c>
      <c r="F25" s="3">
        <v>8543</v>
      </c>
      <c r="G25" s="3">
        <v>450</v>
      </c>
      <c r="H25" s="3" t="s">
        <v>19</v>
      </c>
    </row>
    <row r="26" spans="1:8" ht="26.4" x14ac:dyDescent="0.3">
      <c r="A26" s="2">
        <v>25</v>
      </c>
      <c r="B26" s="3">
        <v>10706</v>
      </c>
      <c r="C26" s="5">
        <v>1.2500000000000001E-2</v>
      </c>
      <c r="D26" s="3">
        <v>12</v>
      </c>
      <c r="E26" s="4">
        <v>0.87</v>
      </c>
      <c r="F26" s="3">
        <v>8672</v>
      </c>
      <c r="G26" s="3">
        <v>456</v>
      </c>
      <c r="H26" s="3" t="s">
        <v>19</v>
      </c>
    </row>
    <row r="27" spans="1:8" ht="26.4" x14ac:dyDescent="0.3">
      <c r="A27" s="2">
        <v>26</v>
      </c>
      <c r="B27" s="3">
        <v>9980</v>
      </c>
      <c r="C27" s="5">
        <v>3.7499999999999999E-2</v>
      </c>
      <c r="D27" s="3">
        <v>12</v>
      </c>
      <c r="E27" s="4">
        <v>0.8</v>
      </c>
      <c r="F27" s="3">
        <v>7984</v>
      </c>
      <c r="G27" s="3">
        <v>399</v>
      </c>
      <c r="H27" s="3" t="s">
        <v>19</v>
      </c>
    </row>
    <row r="28" spans="1:8" ht="26.4" x14ac:dyDescent="0.3">
      <c r="A28" s="2">
        <v>27</v>
      </c>
      <c r="B28" s="3">
        <v>9598</v>
      </c>
      <c r="C28" s="5">
        <v>0.01</v>
      </c>
      <c r="D28" s="3">
        <v>11</v>
      </c>
      <c r="E28" s="4">
        <v>0.9</v>
      </c>
      <c r="F28" s="3">
        <v>7678</v>
      </c>
      <c r="G28" s="3">
        <v>480</v>
      </c>
      <c r="H28" s="3" t="s">
        <v>19</v>
      </c>
    </row>
    <row r="29" spans="1:8" ht="26.4" x14ac:dyDescent="0.3">
      <c r="A29" s="2">
        <v>28</v>
      </c>
      <c r="B29" s="3">
        <v>9572</v>
      </c>
      <c r="C29" s="5">
        <v>2.5000000000000001E-2</v>
      </c>
      <c r="D29" s="3">
        <v>15</v>
      </c>
      <c r="E29" s="4">
        <v>0.93</v>
      </c>
      <c r="F29" s="3">
        <v>8136</v>
      </c>
      <c r="G29" s="3">
        <v>479</v>
      </c>
      <c r="H29" s="3" t="s">
        <v>19</v>
      </c>
    </row>
    <row r="30" spans="1:8" ht="26.4" x14ac:dyDescent="0.3">
      <c r="A30" s="2">
        <v>29</v>
      </c>
      <c r="B30" s="3">
        <v>8833</v>
      </c>
      <c r="C30" s="5">
        <v>2.1428571428571429E-2</v>
      </c>
      <c r="D30" s="3">
        <v>11</v>
      </c>
      <c r="E30" s="4">
        <v>0.89</v>
      </c>
      <c r="F30" s="3">
        <v>7420</v>
      </c>
      <c r="G30" s="3">
        <v>495</v>
      </c>
      <c r="H30" s="3" t="s">
        <v>19</v>
      </c>
    </row>
    <row r="31" spans="1:8" ht="26.4" x14ac:dyDescent="0.3">
      <c r="A31" s="2">
        <v>30</v>
      </c>
      <c r="B31" s="3">
        <v>9184</v>
      </c>
      <c r="C31" s="5">
        <v>1.4999999999999999E-2</v>
      </c>
      <c r="D31" s="3">
        <v>8</v>
      </c>
      <c r="E31" s="4">
        <v>0.79</v>
      </c>
      <c r="F31" s="3">
        <v>7806</v>
      </c>
      <c r="G31" s="3">
        <v>390</v>
      </c>
      <c r="H31" s="3" t="s">
        <v>19</v>
      </c>
    </row>
    <row r="32" spans="1:8" ht="26.4" x14ac:dyDescent="0.3">
      <c r="A32" s="2">
        <v>31</v>
      </c>
      <c r="B32" s="3">
        <v>8917</v>
      </c>
      <c r="C32" s="5">
        <v>7.4999999999999997E-3</v>
      </c>
      <c r="D32" s="3">
        <v>23</v>
      </c>
      <c r="E32" s="4">
        <v>0.8</v>
      </c>
      <c r="F32" s="3">
        <v>7401</v>
      </c>
      <c r="G32" s="3">
        <v>463</v>
      </c>
      <c r="H32" s="3" t="s">
        <v>19</v>
      </c>
    </row>
    <row r="33" spans="1:8" ht="26.4" x14ac:dyDescent="0.3">
      <c r="A33" s="2">
        <v>32</v>
      </c>
      <c r="B33" s="3">
        <v>9426</v>
      </c>
      <c r="C33" s="5">
        <v>1.2500000000000001E-2</v>
      </c>
      <c r="D33" s="3">
        <v>18</v>
      </c>
      <c r="E33" s="4">
        <v>0.93</v>
      </c>
      <c r="F33" s="3">
        <v>7729</v>
      </c>
      <c r="G33" s="3">
        <v>483</v>
      </c>
      <c r="H33" s="3" t="s">
        <v>19</v>
      </c>
    </row>
    <row r="34" spans="1:8" ht="26.4" x14ac:dyDescent="0.3">
      <c r="A34" s="2">
        <v>33</v>
      </c>
      <c r="B34" s="3">
        <v>10799</v>
      </c>
      <c r="C34" s="5">
        <v>4.2857142857142858E-2</v>
      </c>
      <c r="D34" s="3">
        <v>21</v>
      </c>
      <c r="E34" s="4">
        <v>0.87</v>
      </c>
      <c r="F34" s="3">
        <v>9179</v>
      </c>
      <c r="G34" s="3">
        <v>612</v>
      </c>
      <c r="H34" s="3" t="s">
        <v>19</v>
      </c>
    </row>
    <row r="35" spans="1:8" ht="26.4" x14ac:dyDescent="0.3">
      <c r="A35" s="2">
        <v>34</v>
      </c>
      <c r="B35" s="3">
        <v>9644</v>
      </c>
      <c r="C35" s="5">
        <v>8.5714285714285701E-3</v>
      </c>
      <c r="D35" s="3">
        <v>11</v>
      </c>
      <c r="E35" s="4">
        <v>0.79</v>
      </c>
      <c r="F35" s="3">
        <v>7908</v>
      </c>
      <c r="G35" s="3">
        <v>377</v>
      </c>
      <c r="H35" s="3" t="s">
        <v>19</v>
      </c>
    </row>
    <row r="36" spans="1:8" ht="26.4" x14ac:dyDescent="0.3">
      <c r="A36" s="2">
        <v>35</v>
      </c>
      <c r="B36" s="3">
        <v>8655</v>
      </c>
      <c r="C36" s="5">
        <v>1.4285714285714284E-2</v>
      </c>
      <c r="D36" s="3">
        <v>22</v>
      </c>
      <c r="E36" s="4">
        <v>0.87</v>
      </c>
      <c r="F36" s="3">
        <v>7097</v>
      </c>
      <c r="G36" s="3">
        <v>473</v>
      </c>
      <c r="H36" s="3" t="s">
        <v>19</v>
      </c>
    </row>
    <row r="37" spans="1:8" ht="26.4" x14ac:dyDescent="0.3">
      <c r="A37" s="2">
        <v>36</v>
      </c>
      <c r="B37" s="3">
        <v>9065</v>
      </c>
      <c r="C37" s="5">
        <v>2.5000000000000001E-2</v>
      </c>
      <c r="D37" s="3">
        <v>15</v>
      </c>
      <c r="E37" s="4">
        <v>0.88</v>
      </c>
      <c r="F37" s="3">
        <v>7343</v>
      </c>
      <c r="G37" s="3">
        <v>367</v>
      </c>
      <c r="H37" s="3" t="s">
        <v>19</v>
      </c>
    </row>
    <row r="38" spans="1:8" ht="26.4" x14ac:dyDescent="0.3">
      <c r="A38" s="2">
        <v>37</v>
      </c>
      <c r="B38" s="3">
        <v>10328</v>
      </c>
      <c r="C38" s="5">
        <v>2.571428571428571E-2</v>
      </c>
      <c r="D38" s="3">
        <v>8</v>
      </c>
      <c r="E38" s="4">
        <v>0.86</v>
      </c>
      <c r="F38" s="3">
        <v>8572</v>
      </c>
      <c r="G38" s="3">
        <v>536</v>
      </c>
      <c r="H38" s="3" t="s">
        <v>19</v>
      </c>
    </row>
    <row r="39" spans="1:8" ht="26.4" x14ac:dyDescent="0.3">
      <c r="A39" s="2">
        <v>38</v>
      </c>
      <c r="B39" s="3">
        <v>9918</v>
      </c>
      <c r="C39" s="5">
        <v>1.714285714285714E-2</v>
      </c>
      <c r="D39" s="3">
        <v>13</v>
      </c>
      <c r="E39" s="4">
        <v>0.86</v>
      </c>
      <c r="F39" s="3">
        <v>7934</v>
      </c>
      <c r="G39" s="3">
        <v>418</v>
      </c>
      <c r="H39" s="3" t="s">
        <v>19</v>
      </c>
    </row>
    <row r="40" spans="1:8" ht="26.4" x14ac:dyDescent="0.3">
      <c r="A40" s="2">
        <v>39</v>
      </c>
      <c r="B40" s="3">
        <v>9705</v>
      </c>
      <c r="C40" s="5">
        <v>0.03</v>
      </c>
      <c r="D40" s="3">
        <v>25</v>
      </c>
      <c r="E40" s="4">
        <v>0.87</v>
      </c>
      <c r="F40" s="3">
        <v>7861</v>
      </c>
      <c r="G40" s="3">
        <v>491</v>
      </c>
      <c r="H40" s="3" t="s">
        <v>19</v>
      </c>
    </row>
    <row r="41" spans="1:8" ht="26.4" x14ac:dyDescent="0.3">
      <c r="A41" s="2">
        <v>40</v>
      </c>
      <c r="B41" s="3">
        <v>8669</v>
      </c>
      <c r="C41" s="5">
        <v>2.2857142857142857E-2</v>
      </c>
      <c r="D41" s="3">
        <v>17</v>
      </c>
      <c r="E41" s="4">
        <v>0.9</v>
      </c>
      <c r="F41" s="3">
        <v>7022</v>
      </c>
      <c r="G41" s="3">
        <v>468</v>
      </c>
      <c r="H41" s="3" t="s">
        <v>19</v>
      </c>
    </row>
    <row r="42" spans="1:8" ht="26.4" x14ac:dyDescent="0.3">
      <c r="A42" s="2">
        <v>41</v>
      </c>
      <c r="B42" s="3">
        <v>11300</v>
      </c>
      <c r="C42" s="5">
        <v>1.2857142857142855E-2</v>
      </c>
      <c r="D42" s="3">
        <v>17</v>
      </c>
      <c r="E42" s="4">
        <v>0.84</v>
      </c>
      <c r="F42" s="3">
        <v>8199</v>
      </c>
      <c r="G42" s="3">
        <v>547</v>
      </c>
      <c r="H42" s="3" t="s">
        <v>19</v>
      </c>
    </row>
    <row r="43" spans="1:8" ht="26.4" x14ac:dyDescent="0.3">
      <c r="A43" s="2">
        <v>42</v>
      </c>
      <c r="B43" s="3">
        <v>10683</v>
      </c>
      <c r="C43" s="5">
        <v>1.714285714285714E-2</v>
      </c>
      <c r="D43" s="3">
        <v>10</v>
      </c>
      <c r="E43" s="4">
        <v>0.83</v>
      </c>
      <c r="F43" s="3">
        <v>8546</v>
      </c>
      <c r="G43" s="3">
        <v>534</v>
      </c>
      <c r="H43" s="3" t="s">
        <v>19</v>
      </c>
    </row>
    <row r="44" spans="1:8" ht="26.4" x14ac:dyDescent="0.3">
      <c r="A44" s="2">
        <v>43</v>
      </c>
      <c r="B44" s="3">
        <v>12150</v>
      </c>
      <c r="C44" s="5">
        <v>2.2857142857142857E-2</v>
      </c>
      <c r="D44" s="3">
        <v>12</v>
      </c>
      <c r="E44" s="4">
        <v>0.87</v>
      </c>
      <c r="F44" s="3">
        <v>7957</v>
      </c>
      <c r="G44" s="3">
        <v>497</v>
      </c>
      <c r="H44" s="3" t="s">
        <v>19</v>
      </c>
    </row>
    <row r="45" spans="1:8" ht="26.4" x14ac:dyDescent="0.3">
      <c r="A45" s="2">
        <v>44</v>
      </c>
      <c r="B45" s="3">
        <v>11542</v>
      </c>
      <c r="C45" s="5">
        <v>1.4999999999999999E-2</v>
      </c>
      <c r="D45" s="3">
        <v>18</v>
      </c>
      <c r="E45" s="4">
        <v>0.85</v>
      </c>
      <c r="F45" s="3">
        <v>7842</v>
      </c>
      <c r="G45" s="3">
        <v>523</v>
      </c>
      <c r="H45" s="3" t="s">
        <v>19</v>
      </c>
    </row>
    <row r="46" spans="1:8" ht="26.4" x14ac:dyDescent="0.3">
      <c r="A46" s="2">
        <v>45</v>
      </c>
      <c r="B46" s="3">
        <v>11550</v>
      </c>
      <c r="C46" s="5">
        <v>0.03</v>
      </c>
      <c r="D46" s="3">
        <v>9</v>
      </c>
      <c r="E46" s="4">
        <v>0.84</v>
      </c>
      <c r="F46" s="3">
        <v>7550</v>
      </c>
      <c r="G46" s="3">
        <v>360</v>
      </c>
      <c r="H46" s="3" t="s">
        <v>19</v>
      </c>
    </row>
    <row r="47" spans="1:8" ht="26.4" x14ac:dyDescent="0.3">
      <c r="A47" s="2">
        <v>46</v>
      </c>
      <c r="B47" s="3">
        <v>10140</v>
      </c>
      <c r="C47" s="5">
        <v>3.7499999999999999E-2</v>
      </c>
      <c r="D47" s="3">
        <v>22</v>
      </c>
      <c r="E47" s="4">
        <v>0.78</v>
      </c>
      <c r="F47" s="3">
        <v>8213</v>
      </c>
      <c r="G47" s="3">
        <v>391</v>
      </c>
      <c r="H47" s="3" t="s">
        <v>19</v>
      </c>
    </row>
    <row r="48" spans="1:8" ht="26.4" x14ac:dyDescent="0.3">
      <c r="A48" s="2">
        <v>47</v>
      </c>
      <c r="B48" s="3">
        <v>10780</v>
      </c>
      <c r="C48" s="5">
        <v>1.4999999999999999E-2</v>
      </c>
      <c r="D48" s="3">
        <v>18</v>
      </c>
      <c r="E48" s="4">
        <v>0.83</v>
      </c>
      <c r="F48" s="3">
        <v>7658</v>
      </c>
      <c r="G48" s="3">
        <v>365</v>
      </c>
      <c r="H48" s="3" t="s">
        <v>19</v>
      </c>
    </row>
    <row r="49" spans="1:8" ht="26.4" x14ac:dyDescent="0.3">
      <c r="A49" s="2">
        <v>48</v>
      </c>
      <c r="B49" s="3">
        <v>11210</v>
      </c>
      <c r="C49" s="5">
        <v>0.03</v>
      </c>
      <c r="D49" s="3">
        <v>22</v>
      </c>
      <c r="E49" s="4">
        <v>0.91</v>
      </c>
      <c r="F49" s="3">
        <v>8543</v>
      </c>
      <c r="G49" s="3">
        <v>503</v>
      </c>
      <c r="H49" s="3" t="s">
        <v>19</v>
      </c>
    </row>
    <row r="50" spans="1:8" ht="26.4" x14ac:dyDescent="0.3">
      <c r="A50" s="2">
        <v>49</v>
      </c>
      <c r="B50" s="3">
        <v>11450</v>
      </c>
      <c r="C50" s="5">
        <v>2.1428571428571429E-2</v>
      </c>
      <c r="D50" s="3">
        <v>20</v>
      </c>
      <c r="E50" s="4">
        <v>0.91</v>
      </c>
      <c r="F50" s="3">
        <v>7818</v>
      </c>
      <c r="G50" s="3">
        <v>460</v>
      </c>
      <c r="H50" s="3" t="s">
        <v>19</v>
      </c>
    </row>
    <row r="51" spans="1:8" ht="26.4" x14ac:dyDescent="0.3">
      <c r="A51" s="2">
        <v>50</v>
      </c>
      <c r="B51" s="3">
        <v>12520</v>
      </c>
      <c r="C51" s="5">
        <v>0.03</v>
      </c>
      <c r="D51" s="3">
        <v>11</v>
      </c>
      <c r="E51" s="4">
        <v>0.93</v>
      </c>
      <c r="F51" s="3">
        <v>7769</v>
      </c>
      <c r="G51" s="3">
        <v>370</v>
      </c>
      <c r="H51" s="3" t="s">
        <v>19</v>
      </c>
    </row>
    <row r="52" spans="1:8" ht="26.4" x14ac:dyDescent="0.3">
      <c r="A52" s="2">
        <v>51</v>
      </c>
      <c r="B52" s="3">
        <v>11240</v>
      </c>
      <c r="C52" s="5">
        <v>1.2500000000000001E-2</v>
      </c>
      <c r="D52" s="3">
        <v>9</v>
      </c>
      <c r="E52" s="4">
        <v>0.82</v>
      </c>
      <c r="F52" s="3">
        <v>7168</v>
      </c>
      <c r="G52" s="3">
        <v>358</v>
      </c>
      <c r="H52" s="3" t="s">
        <v>19</v>
      </c>
    </row>
    <row r="53" spans="1:8" ht="26.4" x14ac:dyDescent="0.3">
      <c r="A53" s="2">
        <v>52</v>
      </c>
      <c r="B53" s="3">
        <v>11250</v>
      </c>
      <c r="C53" s="5">
        <v>1.4999999999999999E-2</v>
      </c>
      <c r="D53" s="3">
        <v>23</v>
      </c>
      <c r="E53" s="4">
        <v>0.92</v>
      </c>
      <c r="F53" s="3">
        <v>7796</v>
      </c>
      <c r="G53" s="3">
        <v>390</v>
      </c>
      <c r="H53" s="3" t="s">
        <v>19</v>
      </c>
    </row>
    <row r="54" spans="1:8" x14ac:dyDescent="0.3">
      <c r="A54" s="2">
        <v>1</v>
      </c>
      <c r="B54" s="3">
        <v>10200</v>
      </c>
      <c r="C54" s="5">
        <v>3.49E-2</v>
      </c>
      <c r="D54" s="3">
        <v>17</v>
      </c>
      <c r="E54" s="4">
        <v>0.82</v>
      </c>
      <c r="F54" s="3">
        <v>8584</v>
      </c>
      <c r="G54" s="3">
        <v>944</v>
      </c>
      <c r="H54" s="3" t="s">
        <v>20</v>
      </c>
    </row>
    <row r="55" spans="1:8" x14ac:dyDescent="0.3">
      <c r="A55" s="2">
        <v>2</v>
      </c>
      <c r="B55" s="3">
        <v>9174</v>
      </c>
      <c r="C55" s="5">
        <v>2.2499999999999999E-2</v>
      </c>
      <c r="D55" s="3">
        <v>19</v>
      </c>
      <c r="E55" s="4">
        <v>0.79</v>
      </c>
      <c r="F55" s="3">
        <v>8234</v>
      </c>
      <c r="G55" s="3">
        <v>1564</v>
      </c>
      <c r="H55" s="3" t="s">
        <v>20</v>
      </c>
    </row>
    <row r="56" spans="1:8" x14ac:dyDescent="0.3">
      <c r="A56" s="2">
        <v>3</v>
      </c>
      <c r="B56" s="3">
        <v>8165</v>
      </c>
      <c r="C56" s="5">
        <v>9.9000000000000008E-3</v>
      </c>
      <c r="D56" s="3">
        <v>11</v>
      </c>
      <c r="E56" s="4">
        <v>0.8</v>
      </c>
      <c r="F56" s="3">
        <v>6532</v>
      </c>
      <c r="G56" s="3">
        <v>1110</v>
      </c>
      <c r="H56" s="3" t="s">
        <v>20</v>
      </c>
    </row>
    <row r="57" spans="1:8" x14ac:dyDescent="0.3">
      <c r="A57" s="2">
        <v>4</v>
      </c>
      <c r="B57" s="3">
        <v>9520</v>
      </c>
      <c r="C57" s="5">
        <v>3.1199999999999999E-2</v>
      </c>
      <c r="D57" s="3">
        <v>11</v>
      </c>
      <c r="E57" s="4">
        <v>0.83</v>
      </c>
      <c r="F57" s="3">
        <v>7090</v>
      </c>
      <c r="G57" s="3">
        <v>1064</v>
      </c>
      <c r="H57" s="3" t="s">
        <v>20</v>
      </c>
    </row>
    <row r="58" spans="1:8" x14ac:dyDescent="0.3">
      <c r="A58" s="2">
        <v>5</v>
      </c>
      <c r="B58" s="3">
        <v>8672</v>
      </c>
      <c r="C58" s="5">
        <v>2.1700000000000001E-2</v>
      </c>
      <c r="D58" s="3">
        <v>10</v>
      </c>
      <c r="E58" s="4">
        <v>0.88</v>
      </c>
      <c r="F58" s="3">
        <v>7337</v>
      </c>
      <c r="G58" s="3">
        <v>1101</v>
      </c>
      <c r="H58" s="3" t="s">
        <v>20</v>
      </c>
    </row>
    <row r="59" spans="1:8" x14ac:dyDescent="0.3">
      <c r="A59" s="2">
        <v>6</v>
      </c>
      <c r="B59" s="3">
        <v>9149</v>
      </c>
      <c r="C59" s="5">
        <v>0.02</v>
      </c>
      <c r="D59" s="3">
        <v>21</v>
      </c>
      <c r="E59" s="4">
        <v>0.78</v>
      </c>
      <c r="F59" s="3">
        <v>7078</v>
      </c>
      <c r="G59" s="3">
        <v>849</v>
      </c>
      <c r="H59" s="3" t="s">
        <v>20</v>
      </c>
    </row>
    <row r="60" spans="1:8" x14ac:dyDescent="0.3">
      <c r="A60" s="2">
        <v>7</v>
      </c>
      <c r="B60" s="3">
        <v>8000</v>
      </c>
      <c r="C60" s="5">
        <v>2.18E-2</v>
      </c>
      <c r="D60" s="3">
        <v>12</v>
      </c>
      <c r="E60" s="4">
        <v>0.78</v>
      </c>
      <c r="F60" s="3">
        <v>7620</v>
      </c>
      <c r="G60" s="3">
        <v>914</v>
      </c>
      <c r="H60" s="3" t="s">
        <v>20</v>
      </c>
    </row>
    <row r="61" spans="1:8" x14ac:dyDescent="0.3">
      <c r="A61" s="2">
        <v>8</v>
      </c>
      <c r="B61" s="3">
        <v>8185</v>
      </c>
      <c r="C61" s="5">
        <v>1.8200000000000001E-2</v>
      </c>
      <c r="D61" s="3">
        <v>10</v>
      </c>
      <c r="E61" s="4">
        <v>0.79</v>
      </c>
      <c r="F61" s="3">
        <v>7739</v>
      </c>
      <c r="G61" s="3">
        <v>851</v>
      </c>
      <c r="H61" s="3" t="s">
        <v>20</v>
      </c>
    </row>
    <row r="62" spans="1:8" x14ac:dyDescent="0.3">
      <c r="A62" s="2">
        <v>9</v>
      </c>
      <c r="B62" s="3">
        <v>8532</v>
      </c>
      <c r="C62" s="5">
        <v>2.5700000000000001E-2</v>
      </c>
      <c r="D62" s="3">
        <v>17</v>
      </c>
      <c r="E62" s="4">
        <v>0.78</v>
      </c>
      <c r="F62" s="3">
        <v>7927</v>
      </c>
      <c r="G62" s="3">
        <v>1110</v>
      </c>
      <c r="H62" s="3" t="s">
        <v>20</v>
      </c>
    </row>
    <row r="63" spans="1:8" x14ac:dyDescent="0.3">
      <c r="A63" s="2">
        <v>10</v>
      </c>
      <c r="B63" s="3">
        <v>8190</v>
      </c>
      <c r="C63" s="5">
        <v>2.0799999999999999E-2</v>
      </c>
      <c r="D63" s="3">
        <v>14</v>
      </c>
      <c r="E63" s="4">
        <v>0.85</v>
      </c>
      <c r="F63" s="3">
        <v>6790</v>
      </c>
      <c r="G63" s="3">
        <v>815</v>
      </c>
      <c r="H63" s="3" t="s">
        <v>20</v>
      </c>
    </row>
    <row r="64" spans="1:8" x14ac:dyDescent="0.3">
      <c r="A64" s="2">
        <v>11</v>
      </c>
      <c r="B64" s="3">
        <v>7813</v>
      </c>
      <c r="C64" s="5">
        <v>7.4000000000000003E-3</v>
      </c>
      <c r="D64" s="3">
        <v>23</v>
      </c>
      <c r="E64" s="4">
        <v>0.82</v>
      </c>
      <c r="F64" s="3">
        <v>7320</v>
      </c>
      <c r="G64" s="3">
        <v>1098</v>
      </c>
      <c r="H64" s="3" t="s">
        <v>20</v>
      </c>
    </row>
    <row r="65" spans="1:8" x14ac:dyDescent="0.3">
      <c r="A65" s="2">
        <v>12</v>
      </c>
      <c r="B65" s="3">
        <v>9341</v>
      </c>
      <c r="C65" s="5">
        <v>1.9900000000000001E-2</v>
      </c>
      <c r="D65" s="3">
        <v>21</v>
      </c>
      <c r="E65" s="4">
        <v>0.8</v>
      </c>
      <c r="F65" s="3">
        <v>8175</v>
      </c>
      <c r="G65" s="3">
        <v>981</v>
      </c>
      <c r="H65" s="3" t="s">
        <v>20</v>
      </c>
    </row>
    <row r="66" spans="1:8" x14ac:dyDescent="0.3">
      <c r="A66" s="2">
        <v>13</v>
      </c>
      <c r="B66" s="3">
        <v>8711</v>
      </c>
      <c r="C66" s="5">
        <v>2.52E-2</v>
      </c>
      <c r="D66" s="3">
        <v>15</v>
      </c>
      <c r="E66" s="4">
        <v>0.85</v>
      </c>
      <c r="F66" s="3">
        <v>9219</v>
      </c>
      <c r="G66" s="3">
        <v>1659</v>
      </c>
      <c r="H66" s="3" t="s">
        <v>20</v>
      </c>
    </row>
    <row r="67" spans="1:8" x14ac:dyDescent="0.3">
      <c r="A67" s="2">
        <v>14</v>
      </c>
      <c r="B67" s="3">
        <v>9544</v>
      </c>
      <c r="C67" s="5">
        <v>3.0499999999999999E-2</v>
      </c>
      <c r="D67" s="3">
        <v>22</v>
      </c>
      <c r="E67" s="4">
        <v>0.91</v>
      </c>
      <c r="F67" s="3">
        <v>7025</v>
      </c>
      <c r="G67" s="3">
        <v>984</v>
      </c>
      <c r="H67" s="3" t="s">
        <v>20</v>
      </c>
    </row>
    <row r="68" spans="1:8" x14ac:dyDescent="0.3">
      <c r="A68" s="2">
        <v>15</v>
      </c>
      <c r="B68" s="3">
        <v>7466</v>
      </c>
      <c r="C68" s="5">
        <v>1.6299999999999999E-2</v>
      </c>
      <c r="D68" s="3">
        <v>11</v>
      </c>
      <c r="E68" s="4">
        <v>0.87</v>
      </c>
      <c r="F68" s="3">
        <v>5613</v>
      </c>
      <c r="G68" s="3">
        <v>1010</v>
      </c>
      <c r="H68" s="3" t="s">
        <v>20</v>
      </c>
    </row>
    <row r="69" spans="1:8" x14ac:dyDescent="0.3">
      <c r="A69" s="2">
        <v>16</v>
      </c>
      <c r="B69" s="3">
        <v>7464</v>
      </c>
      <c r="C69" s="5">
        <v>2.29E-2</v>
      </c>
      <c r="D69" s="3">
        <v>25</v>
      </c>
      <c r="E69" s="4">
        <v>0.81</v>
      </c>
      <c r="F69" s="3">
        <v>6971</v>
      </c>
      <c r="G69" s="3">
        <v>837</v>
      </c>
      <c r="H69" s="3" t="s">
        <v>20</v>
      </c>
    </row>
    <row r="70" spans="1:8" x14ac:dyDescent="0.3">
      <c r="A70" s="2">
        <v>17</v>
      </c>
      <c r="B70" s="3">
        <v>9308</v>
      </c>
      <c r="C70" s="5">
        <v>1.5900000000000001E-2</v>
      </c>
      <c r="D70" s="3">
        <v>26</v>
      </c>
      <c r="E70" s="4">
        <v>0.86</v>
      </c>
      <c r="F70" s="3">
        <v>6803</v>
      </c>
      <c r="G70" s="3">
        <v>1225</v>
      </c>
      <c r="H70" s="3" t="s">
        <v>20</v>
      </c>
    </row>
    <row r="71" spans="1:8" x14ac:dyDescent="0.3">
      <c r="A71" s="2">
        <v>18</v>
      </c>
      <c r="B71" s="3">
        <v>8372</v>
      </c>
      <c r="C71" s="5">
        <v>1.18E-2</v>
      </c>
      <c r="D71" s="3">
        <v>11</v>
      </c>
      <c r="E71" s="4">
        <v>0.85</v>
      </c>
      <c r="F71" s="3">
        <v>6011</v>
      </c>
      <c r="G71" s="3">
        <v>1022</v>
      </c>
      <c r="H71" s="3" t="s">
        <v>20</v>
      </c>
    </row>
    <row r="72" spans="1:8" x14ac:dyDescent="0.3">
      <c r="A72" s="2">
        <v>19</v>
      </c>
      <c r="B72" s="3">
        <v>8645</v>
      </c>
      <c r="C72" s="5">
        <v>3.1800000000000002E-2</v>
      </c>
      <c r="D72" s="3">
        <v>16</v>
      </c>
      <c r="E72" s="4">
        <v>0.87</v>
      </c>
      <c r="F72" s="3">
        <v>7670</v>
      </c>
      <c r="G72" s="3">
        <v>920</v>
      </c>
      <c r="H72" s="3" t="s">
        <v>20</v>
      </c>
    </row>
    <row r="73" spans="1:8" x14ac:dyDescent="0.3">
      <c r="A73" s="2">
        <v>20</v>
      </c>
      <c r="B73" s="3">
        <v>9000</v>
      </c>
      <c r="C73" s="5">
        <v>2.8199999999999999E-2</v>
      </c>
      <c r="D73" s="3">
        <v>22</v>
      </c>
      <c r="E73" s="4">
        <v>0.78</v>
      </c>
      <c r="F73" s="3">
        <v>7205</v>
      </c>
      <c r="G73" s="3">
        <v>1153</v>
      </c>
      <c r="H73" s="3" t="s">
        <v>20</v>
      </c>
    </row>
    <row r="74" spans="1:8" x14ac:dyDescent="0.3">
      <c r="A74" s="2">
        <v>21</v>
      </c>
      <c r="B74" s="3">
        <v>7837</v>
      </c>
      <c r="C74" s="5">
        <v>1.55E-2</v>
      </c>
      <c r="D74" s="3">
        <v>7</v>
      </c>
      <c r="E74" s="4">
        <v>0.88</v>
      </c>
      <c r="F74" s="3">
        <v>6299</v>
      </c>
      <c r="G74" s="3">
        <v>756</v>
      </c>
      <c r="H74" s="3" t="s">
        <v>20</v>
      </c>
    </row>
    <row r="75" spans="1:8" x14ac:dyDescent="0.3">
      <c r="A75" s="2">
        <v>22</v>
      </c>
      <c r="B75" s="3">
        <v>8609</v>
      </c>
      <c r="C75" s="5">
        <v>3.8600000000000002E-2</v>
      </c>
      <c r="D75" s="3">
        <v>13</v>
      </c>
      <c r="E75" s="4">
        <v>0.81</v>
      </c>
      <c r="F75" s="3">
        <v>6971</v>
      </c>
      <c r="G75" s="3">
        <v>837</v>
      </c>
      <c r="H75" s="3" t="s">
        <v>20</v>
      </c>
    </row>
    <row r="76" spans="1:8" x14ac:dyDescent="0.3">
      <c r="A76" s="2">
        <v>23</v>
      </c>
      <c r="B76" s="3">
        <v>8483</v>
      </c>
      <c r="C76" s="5">
        <v>1.46E-2</v>
      </c>
      <c r="D76" s="3">
        <v>23</v>
      </c>
      <c r="E76" s="4">
        <v>0.79</v>
      </c>
      <c r="F76" s="3">
        <v>6049</v>
      </c>
      <c r="G76" s="3">
        <v>665</v>
      </c>
      <c r="H76" s="3" t="s">
        <v>20</v>
      </c>
    </row>
    <row r="77" spans="1:8" x14ac:dyDescent="0.3">
      <c r="A77" s="2">
        <v>24</v>
      </c>
      <c r="B77" s="3">
        <v>9387</v>
      </c>
      <c r="C77" s="5">
        <v>3.1899999999999998E-2</v>
      </c>
      <c r="D77" s="3">
        <v>20</v>
      </c>
      <c r="E77" s="4">
        <v>0.83</v>
      </c>
      <c r="F77" s="3">
        <v>7860</v>
      </c>
      <c r="G77" s="3">
        <v>1415</v>
      </c>
      <c r="H77" s="3" t="s">
        <v>20</v>
      </c>
    </row>
    <row r="78" spans="1:8" x14ac:dyDescent="0.3">
      <c r="A78" s="2">
        <v>25</v>
      </c>
      <c r="B78" s="3">
        <v>9421</v>
      </c>
      <c r="C78" s="5">
        <v>1.18E-2</v>
      </c>
      <c r="D78" s="3">
        <v>12</v>
      </c>
      <c r="E78" s="4">
        <v>0.87</v>
      </c>
      <c r="F78" s="3">
        <v>7978</v>
      </c>
      <c r="G78" s="3">
        <v>1276</v>
      </c>
      <c r="H78" s="3" t="s">
        <v>20</v>
      </c>
    </row>
    <row r="79" spans="1:8" x14ac:dyDescent="0.3">
      <c r="A79" s="2">
        <v>26</v>
      </c>
      <c r="B79" s="3">
        <v>8283</v>
      </c>
      <c r="C79" s="5">
        <v>3.4500000000000003E-2</v>
      </c>
      <c r="D79" s="3">
        <v>12</v>
      </c>
      <c r="E79" s="4">
        <v>0.8</v>
      </c>
      <c r="F79" s="3">
        <v>7665</v>
      </c>
      <c r="G79" s="3">
        <v>1073</v>
      </c>
      <c r="H79" s="3" t="s">
        <v>20</v>
      </c>
    </row>
    <row r="80" spans="1:8" x14ac:dyDescent="0.3">
      <c r="A80" s="2">
        <v>27</v>
      </c>
      <c r="B80" s="3">
        <v>9520</v>
      </c>
      <c r="C80" s="5">
        <v>9.2999999999999992E-3</v>
      </c>
      <c r="D80" s="3">
        <v>11</v>
      </c>
      <c r="E80" s="4">
        <v>0.9</v>
      </c>
      <c r="F80" s="3">
        <v>7524</v>
      </c>
      <c r="G80" s="3">
        <v>1279</v>
      </c>
      <c r="H80" s="3" t="s">
        <v>20</v>
      </c>
    </row>
    <row r="81" spans="1:8" x14ac:dyDescent="0.3">
      <c r="A81" s="2">
        <v>28</v>
      </c>
      <c r="B81" s="3">
        <v>8328</v>
      </c>
      <c r="C81" s="5">
        <v>2.23E-2</v>
      </c>
      <c r="D81" s="3">
        <v>13</v>
      </c>
      <c r="E81" s="4">
        <v>0.93</v>
      </c>
      <c r="F81" s="3">
        <v>6672</v>
      </c>
      <c r="G81" s="3">
        <v>1268</v>
      </c>
      <c r="H81" s="3" t="s">
        <v>20</v>
      </c>
    </row>
    <row r="82" spans="1:8" x14ac:dyDescent="0.3">
      <c r="A82" s="2">
        <v>29</v>
      </c>
      <c r="B82" s="3">
        <v>7950</v>
      </c>
      <c r="C82" s="5">
        <v>2.23E-2</v>
      </c>
      <c r="D82" s="3">
        <v>12</v>
      </c>
      <c r="E82" s="4">
        <v>0.89</v>
      </c>
      <c r="F82" s="3">
        <v>6901</v>
      </c>
      <c r="G82" s="3">
        <v>828</v>
      </c>
      <c r="H82" s="3" t="s">
        <v>20</v>
      </c>
    </row>
    <row r="83" spans="1:8" x14ac:dyDescent="0.3">
      <c r="A83" s="2">
        <v>30</v>
      </c>
      <c r="B83" s="3">
        <v>7990</v>
      </c>
      <c r="C83" s="5">
        <v>1.44E-2</v>
      </c>
      <c r="D83" s="3">
        <v>7</v>
      </c>
      <c r="E83" s="4">
        <v>0.82</v>
      </c>
      <c r="F83" s="3">
        <v>7572</v>
      </c>
      <c r="G83" s="3">
        <v>1212</v>
      </c>
      <c r="H83" s="3" t="s">
        <v>20</v>
      </c>
    </row>
    <row r="84" spans="1:8" x14ac:dyDescent="0.3">
      <c r="A84" s="2">
        <v>31</v>
      </c>
      <c r="B84" s="3">
        <v>7936</v>
      </c>
      <c r="C84" s="5">
        <v>7.7000000000000002E-3</v>
      </c>
      <c r="D84" s="3">
        <v>22</v>
      </c>
      <c r="E84" s="4">
        <v>0.8</v>
      </c>
      <c r="F84" s="3">
        <v>6439</v>
      </c>
      <c r="G84" s="3">
        <v>1159</v>
      </c>
      <c r="H84" s="3" t="s">
        <v>20</v>
      </c>
    </row>
    <row r="85" spans="1:8" x14ac:dyDescent="0.3">
      <c r="A85" s="2">
        <v>32</v>
      </c>
      <c r="B85" s="3">
        <v>8672</v>
      </c>
      <c r="C85" s="5">
        <v>1.2E-2</v>
      </c>
      <c r="D85" s="3">
        <v>16</v>
      </c>
      <c r="E85" s="4">
        <v>0.93</v>
      </c>
      <c r="F85" s="3">
        <v>6879</v>
      </c>
      <c r="G85" s="3">
        <v>1101</v>
      </c>
      <c r="H85" s="3" t="s">
        <v>20</v>
      </c>
    </row>
    <row r="86" spans="1:8" x14ac:dyDescent="0.3">
      <c r="A86" s="2">
        <v>33</v>
      </c>
      <c r="B86" s="3">
        <v>8963</v>
      </c>
      <c r="C86" s="5">
        <v>3.9899999999999998E-2</v>
      </c>
      <c r="D86" s="3">
        <v>22</v>
      </c>
      <c r="E86" s="4">
        <v>0.87</v>
      </c>
      <c r="F86" s="3">
        <v>7251</v>
      </c>
      <c r="G86" s="3">
        <v>1378</v>
      </c>
      <c r="H86" s="3" t="s">
        <v>20</v>
      </c>
    </row>
    <row r="87" spans="1:8" x14ac:dyDescent="0.3">
      <c r="A87" s="2">
        <v>34</v>
      </c>
      <c r="B87" s="3">
        <v>8420</v>
      </c>
      <c r="C87" s="5">
        <v>7.7000000000000002E-3</v>
      </c>
      <c r="D87" s="3">
        <v>10</v>
      </c>
      <c r="E87" s="4">
        <v>0.85</v>
      </c>
      <c r="F87" s="3">
        <v>6722</v>
      </c>
      <c r="G87" s="3">
        <v>672</v>
      </c>
      <c r="H87" s="3" t="s">
        <v>20</v>
      </c>
    </row>
    <row r="88" spans="1:8" x14ac:dyDescent="0.3">
      <c r="A88" s="2">
        <v>35</v>
      </c>
      <c r="B88" s="3">
        <v>7616</v>
      </c>
      <c r="C88" s="5">
        <v>1.4999999999999999E-2</v>
      </c>
      <c r="D88" s="3">
        <v>20</v>
      </c>
      <c r="E88" s="4">
        <v>0.87</v>
      </c>
      <c r="F88" s="3">
        <v>5678</v>
      </c>
      <c r="G88" s="3">
        <v>681</v>
      </c>
      <c r="H88" s="3" t="s">
        <v>20</v>
      </c>
    </row>
    <row r="89" spans="1:8" x14ac:dyDescent="0.3">
      <c r="A89" s="2">
        <v>36</v>
      </c>
      <c r="B89" s="3">
        <v>7887</v>
      </c>
      <c r="C89" s="5">
        <v>2.5999999999999999E-2</v>
      </c>
      <c r="D89" s="3">
        <v>16</v>
      </c>
      <c r="E89" s="4">
        <v>0.88</v>
      </c>
      <c r="F89" s="3">
        <v>7270</v>
      </c>
      <c r="G89" s="3">
        <v>872</v>
      </c>
      <c r="H89" s="3" t="s">
        <v>20</v>
      </c>
    </row>
    <row r="90" spans="1:8" x14ac:dyDescent="0.3">
      <c r="A90" s="2">
        <v>37</v>
      </c>
      <c r="B90" s="3">
        <v>8882</v>
      </c>
      <c r="C90" s="5">
        <v>2.2599999999999999E-2</v>
      </c>
      <c r="D90" s="3">
        <v>8</v>
      </c>
      <c r="E90" s="4">
        <v>0.86</v>
      </c>
      <c r="F90" s="3">
        <v>8229</v>
      </c>
      <c r="G90" s="3">
        <v>987</v>
      </c>
      <c r="H90" s="3" t="s">
        <v>20</v>
      </c>
    </row>
    <row r="91" spans="1:8" x14ac:dyDescent="0.3">
      <c r="A91" s="2">
        <v>38</v>
      </c>
      <c r="B91" s="3">
        <v>8728</v>
      </c>
      <c r="C91" s="5">
        <v>1.7999999999999999E-2</v>
      </c>
      <c r="D91" s="3">
        <v>13</v>
      </c>
      <c r="E91" s="4">
        <v>0.86</v>
      </c>
      <c r="F91" s="3">
        <v>7061</v>
      </c>
      <c r="G91" s="3">
        <v>777</v>
      </c>
      <c r="H91" s="3" t="s">
        <v>20</v>
      </c>
    </row>
    <row r="92" spans="1:8" x14ac:dyDescent="0.3">
      <c r="A92" s="2">
        <v>39</v>
      </c>
      <c r="B92" s="3">
        <v>8735</v>
      </c>
      <c r="C92" s="5">
        <v>3.0300000000000001E-2</v>
      </c>
      <c r="D92" s="3">
        <v>23</v>
      </c>
      <c r="E92" s="4">
        <v>0.87</v>
      </c>
      <c r="F92" s="3">
        <v>7232</v>
      </c>
      <c r="G92" s="3">
        <v>1374</v>
      </c>
      <c r="H92" s="3" t="s">
        <v>20</v>
      </c>
    </row>
    <row r="93" spans="1:8" x14ac:dyDescent="0.3">
      <c r="A93" s="2">
        <v>40</v>
      </c>
      <c r="B93" s="3">
        <v>7369</v>
      </c>
      <c r="C93" s="5">
        <v>2.35E-2</v>
      </c>
      <c r="D93" s="3">
        <v>17</v>
      </c>
      <c r="E93" s="4">
        <v>0.9</v>
      </c>
      <c r="F93" s="3">
        <v>6671</v>
      </c>
      <c r="G93" s="3">
        <v>667</v>
      </c>
      <c r="H93" s="3" t="s">
        <v>20</v>
      </c>
    </row>
    <row r="94" spans="1:8" x14ac:dyDescent="0.3">
      <c r="A94" s="2">
        <v>41</v>
      </c>
      <c r="B94" s="3">
        <v>9605</v>
      </c>
      <c r="C94" s="5">
        <v>1.2999999999999999E-2</v>
      </c>
      <c r="D94" s="3">
        <v>17</v>
      </c>
      <c r="E94" s="4">
        <v>0.84</v>
      </c>
      <c r="F94" s="3">
        <v>7379</v>
      </c>
      <c r="G94" s="3">
        <v>1328</v>
      </c>
      <c r="H94" s="3" t="s">
        <v>20</v>
      </c>
    </row>
    <row r="95" spans="1:8" x14ac:dyDescent="0.3">
      <c r="A95" s="2">
        <v>42</v>
      </c>
      <c r="B95" s="3">
        <v>9187</v>
      </c>
      <c r="C95" s="5">
        <v>1.6299999999999999E-2</v>
      </c>
      <c r="D95" s="3">
        <v>9</v>
      </c>
      <c r="E95" s="4">
        <v>0.83</v>
      </c>
      <c r="F95" s="3">
        <v>7691</v>
      </c>
      <c r="G95" s="3">
        <v>1231</v>
      </c>
      <c r="H95" s="3" t="s">
        <v>20</v>
      </c>
    </row>
    <row r="96" spans="1:8" x14ac:dyDescent="0.3">
      <c r="A96" s="2">
        <v>43</v>
      </c>
      <c r="B96" s="3">
        <v>10206</v>
      </c>
      <c r="C96" s="5">
        <v>2.01E-2</v>
      </c>
      <c r="D96" s="3">
        <v>11</v>
      </c>
      <c r="E96" s="4">
        <v>0.93</v>
      </c>
      <c r="F96" s="3">
        <v>7002</v>
      </c>
      <c r="G96" s="3">
        <v>770</v>
      </c>
      <c r="H96" s="3" t="s">
        <v>20</v>
      </c>
    </row>
    <row r="97" spans="1:8" x14ac:dyDescent="0.3">
      <c r="A97" s="2">
        <v>44</v>
      </c>
      <c r="B97" s="3">
        <v>10157</v>
      </c>
      <c r="C97" s="5">
        <v>1.47E-2</v>
      </c>
      <c r="D97" s="3">
        <v>18</v>
      </c>
      <c r="E97" s="4">
        <v>0.85</v>
      </c>
      <c r="F97" s="3">
        <v>6666</v>
      </c>
      <c r="G97" s="3">
        <v>1267</v>
      </c>
      <c r="H97" s="3" t="s">
        <v>20</v>
      </c>
    </row>
    <row r="98" spans="1:8" x14ac:dyDescent="0.3">
      <c r="A98" s="2">
        <v>45</v>
      </c>
      <c r="B98" s="3">
        <v>10280</v>
      </c>
      <c r="C98" s="5">
        <v>2.7300000000000001E-2</v>
      </c>
      <c r="D98" s="3">
        <v>19</v>
      </c>
      <c r="E98" s="4">
        <v>0.84</v>
      </c>
      <c r="F98" s="3">
        <v>6040</v>
      </c>
      <c r="G98" s="3">
        <v>664</v>
      </c>
      <c r="H98" s="3" t="s">
        <v>20</v>
      </c>
    </row>
    <row r="99" spans="1:8" x14ac:dyDescent="0.3">
      <c r="A99" s="2">
        <v>46</v>
      </c>
      <c r="B99" s="3">
        <v>11240</v>
      </c>
      <c r="C99" s="5">
        <v>3.9800000000000002E-2</v>
      </c>
      <c r="D99" s="3">
        <v>21</v>
      </c>
      <c r="E99" s="4">
        <v>0.78</v>
      </c>
      <c r="F99" s="3">
        <v>6981</v>
      </c>
      <c r="G99" s="3">
        <v>698</v>
      </c>
      <c r="H99" s="3" t="s">
        <v>20</v>
      </c>
    </row>
    <row r="100" spans="1:8" x14ac:dyDescent="0.3">
      <c r="A100" s="2">
        <v>47</v>
      </c>
      <c r="B100" s="3">
        <v>10558</v>
      </c>
      <c r="C100" s="5">
        <v>1.37E-2</v>
      </c>
      <c r="D100" s="3">
        <v>23</v>
      </c>
      <c r="E100" s="4">
        <v>0.83</v>
      </c>
      <c r="F100" s="3">
        <v>6892</v>
      </c>
      <c r="G100" s="3">
        <v>1172</v>
      </c>
      <c r="H100" s="3" t="s">
        <v>20</v>
      </c>
    </row>
    <row r="101" spans="1:8" x14ac:dyDescent="0.3">
      <c r="A101" s="2">
        <v>48</v>
      </c>
      <c r="B101" s="3">
        <v>10253</v>
      </c>
      <c r="C101" s="5">
        <v>2.9100000000000001E-2</v>
      </c>
      <c r="D101" s="3">
        <v>23</v>
      </c>
      <c r="E101" s="4">
        <v>0.91</v>
      </c>
      <c r="F101" s="3">
        <v>8714</v>
      </c>
      <c r="G101" s="3">
        <v>1656</v>
      </c>
      <c r="H101" s="3" t="s">
        <v>20</v>
      </c>
    </row>
    <row r="102" spans="1:8" x14ac:dyDescent="0.3">
      <c r="A102" s="2">
        <v>49</v>
      </c>
      <c r="B102" s="3">
        <v>10850</v>
      </c>
      <c r="C102" s="5">
        <v>2.2100000000000002E-2</v>
      </c>
      <c r="D102" s="3">
        <v>18</v>
      </c>
      <c r="E102" s="4">
        <v>0.94</v>
      </c>
      <c r="F102" s="3">
        <v>7662</v>
      </c>
      <c r="G102" s="3">
        <v>1149</v>
      </c>
      <c r="H102" s="3" t="s">
        <v>20</v>
      </c>
    </row>
    <row r="103" spans="1:8" x14ac:dyDescent="0.3">
      <c r="A103" s="2">
        <v>50</v>
      </c>
      <c r="B103" s="3">
        <v>10141</v>
      </c>
      <c r="C103" s="5">
        <v>2.7E-2</v>
      </c>
      <c r="D103" s="3">
        <v>17</v>
      </c>
      <c r="E103" s="4">
        <v>0.93</v>
      </c>
      <c r="F103" s="3">
        <v>6060</v>
      </c>
      <c r="G103" s="3">
        <v>606</v>
      </c>
      <c r="H103" s="3" t="s">
        <v>20</v>
      </c>
    </row>
    <row r="104" spans="1:8" x14ac:dyDescent="0.3">
      <c r="A104" s="2">
        <v>51</v>
      </c>
      <c r="B104" s="3">
        <v>11000</v>
      </c>
      <c r="C104" s="5">
        <v>1.2E-2</v>
      </c>
      <c r="D104" s="3">
        <v>21</v>
      </c>
      <c r="E104" s="4">
        <v>0.9</v>
      </c>
      <c r="F104" s="3">
        <v>6021</v>
      </c>
      <c r="G104" s="3">
        <v>1144</v>
      </c>
      <c r="H104" s="3" t="s">
        <v>20</v>
      </c>
    </row>
    <row r="105" spans="1:8" x14ac:dyDescent="0.3">
      <c r="A105" s="2">
        <v>52</v>
      </c>
      <c r="B105" s="3">
        <v>10350</v>
      </c>
      <c r="C105" s="5">
        <v>1.5599999999999999E-2</v>
      </c>
      <c r="D105" s="3">
        <v>22</v>
      </c>
      <c r="E105" s="4">
        <v>0.92</v>
      </c>
      <c r="F105" s="3">
        <v>6627</v>
      </c>
      <c r="G105" s="3">
        <v>928</v>
      </c>
      <c r="H105" s="3" t="s">
        <v>20</v>
      </c>
    </row>
    <row r="106" spans="1:8" x14ac:dyDescent="0.3">
      <c r="A106" s="2">
        <v>1</v>
      </c>
      <c r="B106" s="3">
        <v>12138</v>
      </c>
      <c r="C106" s="5">
        <v>3.9100000000000003E-2</v>
      </c>
      <c r="D106" s="3">
        <v>23</v>
      </c>
      <c r="E106" s="4">
        <v>0.82</v>
      </c>
      <c r="F106" s="3">
        <v>10387</v>
      </c>
      <c r="G106" s="3">
        <v>1150</v>
      </c>
      <c r="H106" s="3" t="s">
        <v>22</v>
      </c>
    </row>
    <row r="107" spans="1:8" x14ac:dyDescent="0.3">
      <c r="A107" s="2">
        <v>2</v>
      </c>
      <c r="B107" s="3">
        <v>10642</v>
      </c>
      <c r="C107" s="5">
        <v>2.52E-2</v>
      </c>
      <c r="D107" s="3">
        <v>30</v>
      </c>
      <c r="E107" s="4">
        <v>0.91</v>
      </c>
      <c r="F107" s="3">
        <v>9551</v>
      </c>
      <c r="G107" s="3">
        <v>1439</v>
      </c>
      <c r="H107" s="3" t="s">
        <v>22</v>
      </c>
    </row>
    <row r="108" spans="1:8" x14ac:dyDescent="0.3">
      <c r="A108" s="2">
        <v>3</v>
      </c>
      <c r="B108" s="3">
        <v>12250</v>
      </c>
      <c r="C108" s="5">
        <v>1.0999999999999999E-2</v>
      </c>
      <c r="D108" s="3">
        <v>15</v>
      </c>
      <c r="E108" s="4">
        <v>0.8</v>
      </c>
      <c r="F108" s="3">
        <v>7838</v>
      </c>
      <c r="G108" s="3">
        <v>1232</v>
      </c>
      <c r="H108" s="3" t="s">
        <v>22</v>
      </c>
    </row>
    <row r="109" spans="1:8" x14ac:dyDescent="0.3">
      <c r="A109" s="2">
        <v>4</v>
      </c>
      <c r="B109" s="3">
        <v>12090</v>
      </c>
      <c r="C109" s="5">
        <v>3.4599999999999999E-2</v>
      </c>
      <c r="D109" s="3">
        <v>14</v>
      </c>
      <c r="E109" s="4">
        <v>0.83</v>
      </c>
      <c r="F109" s="3">
        <v>8224</v>
      </c>
      <c r="G109" s="3">
        <v>1032</v>
      </c>
      <c r="H109" s="3" t="s">
        <v>22</v>
      </c>
    </row>
    <row r="110" spans="1:8" x14ac:dyDescent="0.3">
      <c r="A110" s="2">
        <v>5</v>
      </c>
      <c r="B110" s="3">
        <v>10840</v>
      </c>
      <c r="C110" s="5">
        <v>2.41E-2</v>
      </c>
      <c r="D110" s="3">
        <v>12</v>
      </c>
      <c r="E110" s="4">
        <v>0.88</v>
      </c>
      <c r="F110" s="3">
        <v>8951</v>
      </c>
      <c r="G110" s="3">
        <v>1387</v>
      </c>
      <c r="H110" s="3" t="s">
        <v>22</v>
      </c>
    </row>
    <row r="111" spans="1:8" x14ac:dyDescent="0.3">
      <c r="A111" s="2">
        <v>6</v>
      </c>
      <c r="B111" s="3">
        <v>11802</v>
      </c>
      <c r="C111" s="5">
        <v>2.1999999999999999E-2</v>
      </c>
      <c r="D111" s="3">
        <v>34</v>
      </c>
      <c r="E111" s="4">
        <v>0.78</v>
      </c>
      <c r="F111" s="3">
        <v>7998</v>
      </c>
      <c r="G111" s="3">
        <v>1044</v>
      </c>
      <c r="H111" s="3" t="s">
        <v>22</v>
      </c>
    </row>
    <row r="112" spans="1:8" x14ac:dyDescent="0.3">
      <c r="A112" s="2">
        <v>7</v>
      </c>
      <c r="B112" s="3">
        <v>9120</v>
      </c>
      <c r="C112" s="5">
        <v>2.4400000000000002E-2</v>
      </c>
      <c r="D112" s="3">
        <v>18</v>
      </c>
      <c r="E112" s="4">
        <v>0.82</v>
      </c>
      <c r="F112" s="3">
        <v>8077</v>
      </c>
      <c r="G112" s="3">
        <v>1197</v>
      </c>
      <c r="H112" s="3" t="s">
        <v>22</v>
      </c>
    </row>
    <row r="113" spans="1:8" x14ac:dyDescent="0.3">
      <c r="A113" s="2">
        <v>8</v>
      </c>
      <c r="B113" s="3">
        <v>14520</v>
      </c>
      <c r="C113" s="5">
        <v>2.0199999999999999E-2</v>
      </c>
      <c r="D113" s="3">
        <v>15</v>
      </c>
      <c r="E113" s="4">
        <v>0.79</v>
      </c>
      <c r="F113" s="3">
        <v>8126</v>
      </c>
      <c r="G113" s="3">
        <v>800</v>
      </c>
      <c r="H113" s="3" t="s">
        <v>22</v>
      </c>
    </row>
    <row r="114" spans="1:8" x14ac:dyDescent="0.3">
      <c r="A114" s="2">
        <v>9</v>
      </c>
      <c r="B114" s="3">
        <v>10324</v>
      </c>
      <c r="C114" s="5">
        <v>2.8299999999999999E-2</v>
      </c>
      <c r="D114" s="3">
        <v>27</v>
      </c>
      <c r="E114" s="4">
        <v>0.92</v>
      </c>
      <c r="F114" s="3">
        <v>8878</v>
      </c>
      <c r="G114" s="3">
        <v>1421</v>
      </c>
      <c r="H114" s="3" t="s">
        <v>22</v>
      </c>
    </row>
    <row r="115" spans="1:8" x14ac:dyDescent="0.3">
      <c r="A115" s="2">
        <v>10</v>
      </c>
      <c r="B115" s="3">
        <v>13580</v>
      </c>
      <c r="C115" s="5">
        <v>2.3300000000000001E-2</v>
      </c>
      <c r="D115" s="3">
        <v>18</v>
      </c>
      <c r="E115" s="4">
        <v>0.79</v>
      </c>
      <c r="F115" s="3">
        <v>7537</v>
      </c>
      <c r="G115" s="3">
        <v>1000</v>
      </c>
      <c r="H115" s="3" t="s">
        <v>22</v>
      </c>
    </row>
    <row r="116" spans="1:8" x14ac:dyDescent="0.3">
      <c r="A116" s="2">
        <v>11</v>
      </c>
      <c r="B116" s="3">
        <v>9923</v>
      </c>
      <c r="C116" s="5">
        <v>8.0999999999999996E-3</v>
      </c>
      <c r="D116" s="3">
        <v>35</v>
      </c>
      <c r="E116" s="4">
        <v>0.82</v>
      </c>
      <c r="F116" s="3">
        <v>7832</v>
      </c>
      <c r="G116" s="3">
        <v>1318</v>
      </c>
      <c r="H116" s="3" t="s">
        <v>22</v>
      </c>
    </row>
    <row r="117" spans="1:8" x14ac:dyDescent="0.3">
      <c r="A117" s="2">
        <v>12</v>
      </c>
      <c r="B117" s="3">
        <v>10742</v>
      </c>
      <c r="C117" s="5">
        <v>2.2100000000000002E-2</v>
      </c>
      <c r="D117" s="3">
        <v>33</v>
      </c>
      <c r="E117" s="4">
        <v>0.8</v>
      </c>
      <c r="F117" s="3">
        <v>9974</v>
      </c>
      <c r="G117" s="3">
        <v>1177</v>
      </c>
      <c r="H117" s="3" t="s">
        <v>22</v>
      </c>
    </row>
    <row r="118" spans="1:8" x14ac:dyDescent="0.3">
      <c r="A118" s="2">
        <v>13</v>
      </c>
      <c r="B118" s="3">
        <v>11150</v>
      </c>
      <c r="C118" s="5">
        <v>2.8199999999999999E-2</v>
      </c>
      <c r="D118" s="3">
        <v>24</v>
      </c>
      <c r="E118" s="4">
        <v>0.85</v>
      </c>
      <c r="F118" s="3">
        <v>11155</v>
      </c>
      <c r="G118" s="3">
        <v>1576</v>
      </c>
      <c r="H118" s="3" t="s">
        <v>22</v>
      </c>
    </row>
    <row r="119" spans="1:8" x14ac:dyDescent="0.3">
      <c r="A119" s="2">
        <v>14</v>
      </c>
      <c r="B119" s="3">
        <v>11453</v>
      </c>
      <c r="C119" s="5">
        <v>3.39E-2</v>
      </c>
      <c r="D119" s="3">
        <v>26</v>
      </c>
      <c r="E119" s="4">
        <v>0.88</v>
      </c>
      <c r="F119" s="3">
        <v>7306</v>
      </c>
      <c r="G119" s="3">
        <v>1191</v>
      </c>
      <c r="H119" s="3" t="s">
        <v>22</v>
      </c>
    </row>
    <row r="120" spans="1:8" x14ac:dyDescent="0.3">
      <c r="A120" s="2">
        <v>15</v>
      </c>
      <c r="B120" s="3">
        <v>8437</v>
      </c>
      <c r="C120" s="5">
        <v>1.7899999999999999E-2</v>
      </c>
      <c r="D120" s="3">
        <v>17</v>
      </c>
      <c r="E120" s="4">
        <v>0.87</v>
      </c>
      <c r="F120" s="3">
        <v>6455</v>
      </c>
      <c r="G120" s="3">
        <v>1212</v>
      </c>
      <c r="H120" s="3" t="s">
        <v>22</v>
      </c>
    </row>
    <row r="121" spans="1:8" x14ac:dyDescent="0.3">
      <c r="A121" s="2">
        <v>16</v>
      </c>
      <c r="B121" s="3">
        <v>10226</v>
      </c>
      <c r="C121" s="5">
        <v>2.52E-2</v>
      </c>
      <c r="D121" s="3">
        <v>37</v>
      </c>
      <c r="E121" s="4">
        <v>0.78</v>
      </c>
      <c r="F121" s="3">
        <v>7529</v>
      </c>
      <c r="G121" s="3">
        <v>1096</v>
      </c>
      <c r="H121" s="3" t="s">
        <v>22</v>
      </c>
    </row>
    <row r="122" spans="1:8" x14ac:dyDescent="0.3">
      <c r="A122" s="2">
        <v>17</v>
      </c>
      <c r="B122" s="3">
        <v>10704</v>
      </c>
      <c r="C122" s="5">
        <v>1.7600000000000001E-2</v>
      </c>
      <c r="D122" s="3">
        <v>36</v>
      </c>
      <c r="E122" s="4">
        <v>0.86</v>
      </c>
      <c r="F122" s="3">
        <v>8028</v>
      </c>
      <c r="G122" s="3">
        <v>1335</v>
      </c>
      <c r="H122" s="3" t="s">
        <v>22</v>
      </c>
    </row>
    <row r="123" spans="1:8" x14ac:dyDescent="0.3">
      <c r="A123" s="2">
        <v>18</v>
      </c>
      <c r="B123" s="3">
        <v>10381</v>
      </c>
      <c r="C123" s="5">
        <v>1.2999999999999999E-2</v>
      </c>
      <c r="D123" s="3">
        <v>15</v>
      </c>
      <c r="E123" s="4">
        <v>0.85</v>
      </c>
      <c r="F123" s="3">
        <v>6312</v>
      </c>
      <c r="G123" s="3">
        <v>1022</v>
      </c>
      <c r="H123" s="3" t="s">
        <v>22</v>
      </c>
    </row>
    <row r="124" spans="1:8" x14ac:dyDescent="0.3">
      <c r="A124" s="2">
        <v>19</v>
      </c>
      <c r="B124" s="3">
        <v>11930</v>
      </c>
      <c r="C124" s="5">
        <v>3.5299999999999998E-2</v>
      </c>
      <c r="D124" s="3">
        <v>22</v>
      </c>
      <c r="E124" s="4">
        <v>0.87</v>
      </c>
      <c r="F124" s="3">
        <v>8514</v>
      </c>
      <c r="G124" s="3">
        <v>1205</v>
      </c>
      <c r="H124" s="3" t="s">
        <v>22</v>
      </c>
    </row>
    <row r="125" spans="1:8" x14ac:dyDescent="0.3">
      <c r="A125" s="2">
        <v>20</v>
      </c>
      <c r="B125" s="3">
        <v>12510</v>
      </c>
      <c r="C125" s="5">
        <v>3.1300000000000001E-2</v>
      </c>
      <c r="D125" s="3">
        <v>29</v>
      </c>
      <c r="E125" s="4">
        <v>0.78</v>
      </c>
      <c r="F125" s="3">
        <v>7637</v>
      </c>
      <c r="G125" s="3">
        <v>1211</v>
      </c>
      <c r="H125" s="3" t="s">
        <v>22</v>
      </c>
    </row>
    <row r="126" spans="1:8" x14ac:dyDescent="0.3">
      <c r="A126" s="2">
        <v>21</v>
      </c>
      <c r="B126" s="3">
        <v>10815</v>
      </c>
      <c r="C126" s="5">
        <v>1.7399999999999999E-2</v>
      </c>
      <c r="D126" s="3">
        <v>10</v>
      </c>
      <c r="E126" s="4">
        <v>0.86</v>
      </c>
      <c r="F126" s="3">
        <v>7244</v>
      </c>
      <c r="G126" s="3">
        <v>1052</v>
      </c>
      <c r="H126" s="3" t="s">
        <v>22</v>
      </c>
    </row>
    <row r="127" spans="1:8" x14ac:dyDescent="0.3">
      <c r="A127" s="2">
        <v>22</v>
      </c>
      <c r="B127" s="3">
        <v>11020</v>
      </c>
      <c r="C127" s="5">
        <v>4.2799999999999998E-2</v>
      </c>
      <c r="D127" s="3">
        <v>18</v>
      </c>
      <c r="E127" s="4">
        <v>0.81</v>
      </c>
      <c r="F127" s="3">
        <v>7598</v>
      </c>
      <c r="G127" s="3">
        <v>1063</v>
      </c>
      <c r="H127" s="3" t="s">
        <v>22</v>
      </c>
    </row>
    <row r="128" spans="1:8" x14ac:dyDescent="0.3">
      <c r="A128" s="2">
        <v>23</v>
      </c>
      <c r="B128" s="3">
        <v>10264</v>
      </c>
      <c r="C128" s="5">
        <v>1.6199999999999999E-2</v>
      </c>
      <c r="D128" s="3">
        <v>32</v>
      </c>
      <c r="E128" s="4">
        <v>0.79</v>
      </c>
      <c r="F128" s="3">
        <v>6896</v>
      </c>
      <c r="G128" s="3">
        <v>685</v>
      </c>
      <c r="H128" s="3" t="s">
        <v>22</v>
      </c>
    </row>
    <row r="129" spans="1:8" x14ac:dyDescent="0.3">
      <c r="A129" s="2">
        <v>24</v>
      </c>
      <c r="B129" s="3">
        <v>14445</v>
      </c>
      <c r="C129" s="5">
        <v>3.5099999999999999E-2</v>
      </c>
      <c r="D129" s="3">
        <v>24</v>
      </c>
      <c r="E129" s="4">
        <v>0.83</v>
      </c>
      <c r="F129" s="3">
        <v>8174</v>
      </c>
      <c r="G129" s="3">
        <v>1599</v>
      </c>
      <c r="H129" s="3" t="s">
        <v>22</v>
      </c>
    </row>
    <row r="130" spans="1:8" x14ac:dyDescent="0.3">
      <c r="A130" s="2">
        <v>25</v>
      </c>
      <c r="B130" s="3">
        <v>11965</v>
      </c>
      <c r="C130" s="5">
        <v>1.2999999999999999E-2</v>
      </c>
      <c r="D130" s="3">
        <v>19</v>
      </c>
      <c r="E130" s="4">
        <v>0.87</v>
      </c>
      <c r="F130" s="3">
        <v>8536</v>
      </c>
      <c r="G130" s="3">
        <v>1646</v>
      </c>
      <c r="H130" s="3" t="s">
        <v>22</v>
      </c>
    </row>
    <row r="131" spans="1:8" x14ac:dyDescent="0.3">
      <c r="A131" s="2">
        <v>26</v>
      </c>
      <c r="B131" s="3">
        <v>10519</v>
      </c>
      <c r="C131" s="5">
        <v>3.8600000000000002E-2</v>
      </c>
      <c r="D131" s="3">
        <v>18</v>
      </c>
      <c r="E131" s="4">
        <v>0.8</v>
      </c>
      <c r="F131" s="3">
        <v>8738</v>
      </c>
      <c r="G131" s="3">
        <v>1255</v>
      </c>
      <c r="H131" s="3" t="s">
        <v>22</v>
      </c>
    </row>
    <row r="132" spans="1:8" x14ac:dyDescent="0.3">
      <c r="A132" s="2">
        <v>27</v>
      </c>
      <c r="B132" s="3">
        <v>10853</v>
      </c>
      <c r="C132" s="5">
        <v>1.03E-2</v>
      </c>
      <c r="D132" s="3">
        <v>16</v>
      </c>
      <c r="E132" s="4">
        <v>0.9</v>
      </c>
      <c r="F132" s="3">
        <v>9179</v>
      </c>
      <c r="G132" s="3">
        <v>1522</v>
      </c>
      <c r="H132" s="3" t="s">
        <v>22</v>
      </c>
    </row>
    <row r="133" spans="1:8" x14ac:dyDescent="0.3">
      <c r="A133" s="2">
        <v>28</v>
      </c>
      <c r="B133" s="3">
        <v>9244</v>
      </c>
      <c r="C133" s="5">
        <v>2.5000000000000001E-2</v>
      </c>
      <c r="D133" s="3">
        <v>17</v>
      </c>
      <c r="E133" s="4">
        <v>0.93</v>
      </c>
      <c r="F133" s="3">
        <v>7539</v>
      </c>
      <c r="G133" s="3">
        <v>1572</v>
      </c>
      <c r="H133" s="3" t="s">
        <v>22</v>
      </c>
    </row>
    <row r="134" spans="1:8" x14ac:dyDescent="0.3">
      <c r="A134" s="2">
        <v>29</v>
      </c>
      <c r="B134" s="3">
        <v>12520</v>
      </c>
      <c r="C134" s="5">
        <v>2.4500000000000001E-2</v>
      </c>
      <c r="D134" s="3">
        <v>16</v>
      </c>
      <c r="E134" s="4">
        <v>0.89</v>
      </c>
      <c r="F134" s="3">
        <v>8419</v>
      </c>
      <c r="G134" s="3">
        <v>770</v>
      </c>
      <c r="H134" s="3" t="s">
        <v>22</v>
      </c>
    </row>
    <row r="135" spans="1:8" x14ac:dyDescent="0.3">
      <c r="A135" s="2">
        <v>30</v>
      </c>
      <c r="B135" s="3">
        <v>10467</v>
      </c>
      <c r="C135" s="5">
        <v>1.6E-2</v>
      </c>
      <c r="D135" s="3">
        <v>9</v>
      </c>
      <c r="E135" s="4">
        <v>0.79</v>
      </c>
      <c r="F135" s="3">
        <v>8708</v>
      </c>
      <c r="G135" s="3">
        <v>1442</v>
      </c>
      <c r="H135" s="3" t="s">
        <v>22</v>
      </c>
    </row>
    <row r="136" spans="1:8" x14ac:dyDescent="0.3">
      <c r="A136" s="2">
        <v>31</v>
      </c>
      <c r="B136" s="3">
        <v>10222</v>
      </c>
      <c r="C136" s="5">
        <v>8.5000000000000006E-3</v>
      </c>
      <c r="D136" s="3">
        <v>34</v>
      </c>
      <c r="E136" s="4">
        <v>0.84</v>
      </c>
      <c r="F136" s="3">
        <v>7340</v>
      </c>
      <c r="G136" s="3">
        <v>1182</v>
      </c>
      <c r="H136" s="3" t="s">
        <v>22</v>
      </c>
    </row>
    <row r="137" spans="1:8" x14ac:dyDescent="0.3">
      <c r="A137" s="2">
        <v>32</v>
      </c>
      <c r="B137" s="3">
        <v>11013</v>
      </c>
      <c r="C137" s="5">
        <v>1.34E-2</v>
      </c>
      <c r="D137" s="3">
        <v>23</v>
      </c>
      <c r="E137" s="4">
        <v>0.92</v>
      </c>
      <c r="F137" s="3">
        <v>7154</v>
      </c>
      <c r="G137" s="3">
        <v>1057</v>
      </c>
      <c r="H137" s="3" t="s">
        <v>22</v>
      </c>
    </row>
    <row r="138" spans="1:8" x14ac:dyDescent="0.3">
      <c r="A138" s="2">
        <v>33</v>
      </c>
      <c r="B138" s="3">
        <v>10576</v>
      </c>
      <c r="C138" s="5">
        <v>4.4299999999999999E-2</v>
      </c>
      <c r="D138" s="3">
        <v>29</v>
      </c>
      <c r="E138" s="4">
        <v>0.87</v>
      </c>
      <c r="F138" s="3">
        <v>8484</v>
      </c>
      <c r="G138" s="3">
        <v>1350</v>
      </c>
      <c r="H138" s="3" t="s">
        <v>22</v>
      </c>
    </row>
    <row r="139" spans="1:8" x14ac:dyDescent="0.3">
      <c r="A139" s="2">
        <v>34</v>
      </c>
      <c r="B139" s="3">
        <v>10525</v>
      </c>
      <c r="C139" s="5">
        <v>8.5000000000000006E-3</v>
      </c>
      <c r="D139" s="3">
        <v>13</v>
      </c>
      <c r="E139" s="4">
        <v>0.79</v>
      </c>
      <c r="F139" s="3">
        <v>7260</v>
      </c>
      <c r="G139" s="3">
        <v>759</v>
      </c>
      <c r="H139" s="3" t="s">
        <v>22</v>
      </c>
    </row>
    <row r="140" spans="1:8" x14ac:dyDescent="0.3">
      <c r="A140" s="2">
        <v>35</v>
      </c>
      <c r="B140" s="3">
        <v>11200</v>
      </c>
      <c r="C140" s="5">
        <v>1.6500000000000001E-2</v>
      </c>
      <c r="D140" s="3">
        <v>26</v>
      </c>
      <c r="E140" s="4">
        <v>0.87</v>
      </c>
      <c r="F140" s="3">
        <v>6075</v>
      </c>
      <c r="G140" s="3">
        <v>1052</v>
      </c>
      <c r="H140" s="3" t="s">
        <v>22</v>
      </c>
    </row>
    <row r="141" spans="1:8" x14ac:dyDescent="0.3">
      <c r="A141" s="2">
        <v>36</v>
      </c>
      <c r="B141" s="3">
        <v>11042</v>
      </c>
      <c r="C141" s="5">
        <v>2.86E-2</v>
      </c>
      <c r="D141" s="3">
        <v>22</v>
      </c>
      <c r="E141" s="4">
        <v>0.88</v>
      </c>
      <c r="F141" s="3">
        <v>8651</v>
      </c>
      <c r="G141" s="3">
        <v>811</v>
      </c>
      <c r="H141" s="3" t="s">
        <v>22</v>
      </c>
    </row>
    <row r="142" spans="1:8" x14ac:dyDescent="0.3">
      <c r="A142" s="2">
        <v>37</v>
      </c>
      <c r="B142" s="3">
        <v>9770</v>
      </c>
      <c r="C142" s="5">
        <v>2.53E-2</v>
      </c>
      <c r="D142" s="3">
        <v>10</v>
      </c>
      <c r="E142" s="4">
        <v>0.86</v>
      </c>
      <c r="F142" s="3">
        <v>9793</v>
      </c>
      <c r="G142" s="3">
        <v>1135</v>
      </c>
      <c r="H142" s="3" t="s">
        <v>22</v>
      </c>
    </row>
    <row r="143" spans="1:8" x14ac:dyDescent="0.3">
      <c r="A143" s="2">
        <v>38</v>
      </c>
      <c r="B143" s="3">
        <v>11608</v>
      </c>
      <c r="C143" s="5">
        <v>1.9800000000000002E-2</v>
      </c>
      <c r="D143" s="3">
        <v>16</v>
      </c>
      <c r="E143" s="4">
        <v>0.86</v>
      </c>
      <c r="F143" s="3">
        <v>7626</v>
      </c>
      <c r="G143" s="3">
        <v>870</v>
      </c>
      <c r="H143" s="3" t="s">
        <v>22</v>
      </c>
    </row>
    <row r="144" spans="1:8" x14ac:dyDescent="0.3">
      <c r="A144" s="2">
        <v>39</v>
      </c>
      <c r="B144" s="3">
        <v>9958</v>
      </c>
      <c r="C144" s="5">
        <v>3.39E-2</v>
      </c>
      <c r="D144" s="3">
        <v>29</v>
      </c>
      <c r="E144" s="4">
        <v>0.88</v>
      </c>
      <c r="F144" s="3">
        <v>8823</v>
      </c>
      <c r="G144" s="3">
        <v>1704</v>
      </c>
      <c r="H144" s="3" t="s">
        <v>22</v>
      </c>
    </row>
    <row r="145" spans="1:8" x14ac:dyDescent="0.3">
      <c r="A145" s="2">
        <v>40</v>
      </c>
      <c r="B145" s="3">
        <v>8253</v>
      </c>
      <c r="C145" s="5">
        <v>2.63E-2</v>
      </c>
      <c r="D145" s="3">
        <v>27</v>
      </c>
      <c r="E145" s="4">
        <v>0.9</v>
      </c>
      <c r="F145" s="3">
        <v>6938</v>
      </c>
      <c r="G145" s="3">
        <v>647</v>
      </c>
      <c r="H145" s="3" t="s">
        <v>22</v>
      </c>
    </row>
    <row r="146" spans="1:8" x14ac:dyDescent="0.3">
      <c r="A146" s="2">
        <v>41</v>
      </c>
      <c r="B146" s="3">
        <v>13255</v>
      </c>
      <c r="C146" s="5">
        <v>1.46E-2</v>
      </c>
      <c r="D146" s="3">
        <v>20</v>
      </c>
      <c r="E146" s="4">
        <v>0.84</v>
      </c>
      <c r="F146" s="3">
        <v>7822</v>
      </c>
      <c r="G146" s="3">
        <v>1248</v>
      </c>
      <c r="H146" s="3" t="s">
        <v>22</v>
      </c>
    </row>
    <row r="147" spans="1:8" x14ac:dyDescent="0.3">
      <c r="A147" s="2">
        <v>42</v>
      </c>
      <c r="B147" s="3">
        <v>11850</v>
      </c>
      <c r="C147" s="5">
        <v>1.83E-2</v>
      </c>
      <c r="D147" s="3">
        <v>12</v>
      </c>
      <c r="E147" s="4">
        <v>0.83</v>
      </c>
      <c r="F147" s="3">
        <v>9075</v>
      </c>
      <c r="G147" s="3">
        <v>1293</v>
      </c>
      <c r="H147" s="3" t="s">
        <v>22</v>
      </c>
    </row>
    <row r="148" spans="1:8" x14ac:dyDescent="0.3">
      <c r="A148" s="2">
        <v>43</v>
      </c>
      <c r="B148" s="3">
        <v>12962</v>
      </c>
      <c r="C148" s="5">
        <v>2.2100000000000002E-2</v>
      </c>
      <c r="D148" s="3">
        <v>16</v>
      </c>
      <c r="E148" s="4">
        <v>0.87</v>
      </c>
      <c r="F148" s="3">
        <v>7772</v>
      </c>
      <c r="G148" s="3">
        <v>855</v>
      </c>
      <c r="H148" s="3" t="s">
        <v>22</v>
      </c>
    </row>
    <row r="149" spans="1:8" x14ac:dyDescent="0.3">
      <c r="A149" s="2">
        <v>44</v>
      </c>
      <c r="B149" s="3">
        <v>14118</v>
      </c>
      <c r="C149" s="5">
        <v>1.6299999999999999E-2</v>
      </c>
      <c r="D149" s="3">
        <v>25</v>
      </c>
      <c r="E149" s="4">
        <v>0.85</v>
      </c>
      <c r="F149" s="3">
        <v>7266</v>
      </c>
      <c r="G149" s="3">
        <v>1432</v>
      </c>
      <c r="H149" s="3" t="s">
        <v>22</v>
      </c>
    </row>
    <row r="150" spans="1:8" x14ac:dyDescent="0.3">
      <c r="A150" s="2">
        <v>45</v>
      </c>
      <c r="B150" s="3">
        <v>13056</v>
      </c>
      <c r="C150" s="5">
        <v>0.03</v>
      </c>
      <c r="D150" s="3">
        <v>25</v>
      </c>
      <c r="E150" s="4">
        <v>0.84</v>
      </c>
      <c r="F150" s="3">
        <v>8580</v>
      </c>
      <c r="G150" s="3">
        <v>1200</v>
      </c>
      <c r="H150" s="3" t="s">
        <v>22</v>
      </c>
    </row>
    <row r="151" spans="1:8" x14ac:dyDescent="0.3">
      <c r="A151" s="2">
        <v>46</v>
      </c>
      <c r="B151" s="3">
        <v>15399</v>
      </c>
      <c r="C151" s="5">
        <v>4.4200000000000003E-2</v>
      </c>
      <c r="D151" s="3">
        <v>33</v>
      </c>
      <c r="E151" s="4">
        <v>0.78</v>
      </c>
      <c r="F151" s="3">
        <v>8307</v>
      </c>
      <c r="G151" s="3">
        <v>1085</v>
      </c>
      <c r="H151" s="3" t="s">
        <v>22</v>
      </c>
    </row>
    <row r="152" spans="1:8" x14ac:dyDescent="0.3">
      <c r="A152" s="2">
        <v>47</v>
      </c>
      <c r="B152" s="3">
        <v>14359</v>
      </c>
      <c r="C152" s="5">
        <v>1.5299999999999999E-2</v>
      </c>
      <c r="D152" s="3">
        <v>36</v>
      </c>
      <c r="E152" s="4">
        <v>0.78</v>
      </c>
      <c r="F152" s="3">
        <v>9560</v>
      </c>
      <c r="G152" s="3">
        <v>1488</v>
      </c>
      <c r="H152" s="3" t="s">
        <v>22</v>
      </c>
    </row>
    <row r="153" spans="1:8" x14ac:dyDescent="0.3">
      <c r="A153" s="2">
        <v>48</v>
      </c>
      <c r="B153" s="3">
        <v>13800</v>
      </c>
      <c r="C153" s="5">
        <v>3.2000000000000001E-2</v>
      </c>
      <c r="D153" s="3">
        <v>34</v>
      </c>
      <c r="E153" s="4">
        <v>0.91</v>
      </c>
      <c r="F153" s="3">
        <v>10631</v>
      </c>
      <c r="G153" s="3">
        <v>1623</v>
      </c>
      <c r="H153" s="3" t="s">
        <v>22</v>
      </c>
    </row>
    <row r="154" spans="1:8" x14ac:dyDescent="0.3">
      <c r="A154" s="2">
        <v>49</v>
      </c>
      <c r="B154" s="3">
        <v>15299</v>
      </c>
      <c r="C154" s="5">
        <v>2.4799999999999999E-2</v>
      </c>
      <c r="D154" s="3">
        <v>23</v>
      </c>
      <c r="E154" s="4">
        <v>0.91</v>
      </c>
      <c r="F154" s="3">
        <v>9520</v>
      </c>
      <c r="G154" s="3">
        <v>1287</v>
      </c>
      <c r="H154" s="3" t="s">
        <v>22</v>
      </c>
    </row>
    <row r="155" spans="1:8" x14ac:dyDescent="0.3">
      <c r="A155" s="2">
        <v>50</v>
      </c>
      <c r="B155" s="3">
        <v>16520</v>
      </c>
      <c r="C155" s="5">
        <v>3.0200000000000001E-2</v>
      </c>
      <c r="D155" s="3">
        <v>26</v>
      </c>
      <c r="E155" s="4">
        <v>0.93</v>
      </c>
      <c r="F155" s="3">
        <v>9000</v>
      </c>
      <c r="G155" s="3">
        <v>1100</v>
      </c>
      <c r="H155" s="3" t="s">
        <v>22</v>
      </c>
    </row>
    <row r="156" spans="1:8" x14ac:dyDescent="0.3">
      <c r="A156" s="2">
        <v>51</v>
      </c>
      <c r="B156" s="3">
        <v>15290</v>
      </c>
      <c r="C156" s="5">
        <v>1.3299999999999999E-2</v>
      </c>
      <c r="D156" s="3">
        <v>28</v>
      </c>
      <c r="E156" s="4">
        <v>0.96</v>
      </c>
      <c r="F156" s="3">
        <v>9250</v>
      </c>
      <c r="G156" s="3">
        <v>1361</v>
      </c>
      <c r="H156" s="3" t="s">
        <v>22</v>
      </c>
    </row>
    <row r="157" spans="1:8" x14ac:dyDescent="0.3">
      <c r="A157" s="2">
        <v>52</v>
      </c>
      <c r="B157" s="3">
        <v>15200</v>
      </c>
      <c r="C157" s="5">
        <v>1.7500000000000002E-2</v>
      </c>
      <c r="D157" s="3">
        <v>27</v>
      </c>
      <c r="E157" s="4">
        <v>0.92</v>
      </c>
      <c r="F157" s="3">
        <v>8800</v>
      </c>
      <c r="G157" s="3">
        <v>1420</v>
      </c>
      <c r="H157" s="3" t="s">
        <v>22</v>
      </c>
    </row>
    <row r="158" spans="1:8" x14ac:dyDescent="0.3">
      <c r="A158" s="2">
        <v>1</v>
      </c>
      <c r="B158" s="3">
        <v>14808</v>
      </c>
      <c r="C158" s="5">
        <v>0.04</v>
      </c>
      <c r="D158" s="3">
        <v>27</v>
      </c>
      <c r="E158" s="4">
        <v>0.82</v>
      </c>
      <c r="F158" s="3">
        <v>9660</v>
      </c>
      <c r="G158" s="3">
        <v>1449</v>
      </c>
      <c r="H158" s="3" t="s">
        <v>21</v>
      </c>
    </row>
    <row r="159" spans="1:8" x14ac:dyDescent="0.3">
      <c r="A159" s="2">
        <v>2</v>
      </c>
      <c r="B159" s="3">
        <v>12451</v>
      </c>
      <c r="C159" s="5">
        <v>2.52E-2</v>
      </c>
      <c r="D159" s="3">
        <v>33</v>
      </c>
      <c r="E159" s="4">
        <v>0.79</v>
      </c>
      <c r="F159" s="3">
        <v>9933</v>
      </c>
      <c r="G159" s="3">
        <v>1482</v>
      </c>
      <c r="H159" s="3" t="s">
        <v>21</v>
      </c>
    </row>
    <row r="160" spans="1:8" x14ac:dyDescent="0.3">
      <c r="A160" s="2">
        <v>3</v>
      </c>
      <c r="B160" s="3">
        <v>14945</v>
      </c>
      <c r="C160" s="5">
        <v>2.8000000000000001E-2</v>
      </c>
      <c r="D160" s="3">
        <v>18</v>
      </c>
      <c r="E160" s="4">
        <v>0.8</v>
      </c>
      <c r="F160" s="3">
        <v>8073</v>
      </c>
      <c r="G160" s="3">
        <v>1725</v>
      </c>
      <c r="H160" s="3" t="s">
        <v>21</v>
      </c>
    </row>
    <row r="161" spans="1:8" x14ac:dyDescent="0.3">
      <c r="A161" s="2">
        <v>4</v>
      </c>
      <c r="B161" s="3">
        <v>12695</v>
      </c>
      <c r="C161" s="5">
        <v>3.4599999999999999E-2</v>
      </c>
      <c r="D161" s="3">
        <v>14</v>
      </c>
      <c r="E161" s="4">
        <v>0.83</v>
      </c>
      <c r="F161" s="3">
        <v>8471</v>
      </c>
      <c r="G161" s="3">
        <v>1362</v>
      </c>
      <c r="H161" s="3" t="s">
        <v>21</v>
      </c>
    </row>
    <row r="162" spans="1:8" x14ac:dyDescent="0.3">
      <c r="A162" s="2">
        <v>5</v>
      </c>
      <c r="B162" s="3">
        <v>12032</v>
      </c>
      <c r="C162" s="5">
        <v>2.41E-2</v>
      </c>
      <c r="D162" s="3">
        <v>14</v>
      </c>
      <c r="E162" s="4">
        <v>0.88</v>
      </c>
      <c r="F162" s="3">
        <v>8593</v>
      </c>
      <c r="G162" s="3">
        <v>1748</v>
      </c>
      <c r="H162" s="3" t="s">
        <v>21</v>
      </c>
    </row>
    <row r="163" spans="1:8" x14ac:dyDescent="0.3">
      <c r="A163" s="2">
        <v>6</v>
      </c>
      <c r="B163" s="3">
        <v>14871</v>
      </c>
      <c r="C163" s="5">
        <v>2.1999999999999999E-2</v>
      </c>
      <c r="D163" s="3">
        <v>35</v>
      </c>
      <c r="E163" s="4">
        <v>0.78</v>
      </c>
      <c r="F163" s="3">
        <v>8078</v>
      </c>
      <c r="G163" s="3">
        <v>1378</v>
      </c>
      <c r="H163" s="3" t="s">
        <v>21</v>
      </c>
    </row>
    <row r="164" spans="1:8" x14ac:dyDescent="0.3">
      <c r="A164" s="2">
        <v>7</v>
      </c>
      <c r="B164" s="3">
        <v>11400</v>
      </c>
      <c r="C164" s="5">
        <v>2.4400000000000002E-2</v>
      </c>
      <c r="D164" s="3">
        <v>21</v>
      </c>
      <c r="E164" s="4">
        <v>0.82</v>
      </c>
      <c r="F164" s="3">
        <v>7350</v>
      </c>
      <c r="G164" s="3">
        <v>1424</v>
      </c>
      <c r="H164" s="3" t="s">
        <v>21</v>
      </c>
    </row>
    <row r="165" spans="1:8" x14ac:dyDescent="0.3">
      <c r="A165" s="2">
        <v>8</v>
      </c>
      <c r="B165" s="3">
        <v>17714</v>
      </c>
      <c r="C165" s="5">
        <v>2.0199999999999999E-2</v>
      </c>
      <c r="D165" s="3">
        <v>16</v>
      </c>
      <c r="E165" s="4">
        <v>0.79</v>
      </c>
      <c r="F165" s="3">
        <v>8695</v>
      </c>
      <c r="G165" s="3">
        <v>832</v>
      </c>
      <c r="H165" s="3" t="s">
        <v>21</v>
      </c>
    </row>
    <row r="166" spans="1:8" x14ac:dyDescent="0.3">
      <c r="A166" s="2">
        <v>9</v>
      </c>
      <c r="B166" s="3">
        <v>12389</v>
      </c>
      <c r="C166" s="5">
        <v>2.8299999999999999E-2</v>
      </c>
      <c r="D166" s="3">
        <v>28</v>
      </c>
      <c r="E166" s="4">
        <v>0.78</v>
      </c>
      <c r="F166" s="3">
        <v>8345</v>
      </c>
      <c r="G166" s="3">
        <v>1705</v>
      </c>
      <c r="H166" s="3" t="s">
        <v>21</v>
      </c>
    </row>
    <row r="167" spans="1:8" x14ac:dyDescent="0.3">
      <c r="A167" s="2">
        <v>10</v>
      </c>
      <c r="B167" s="3">
        <v>17247</v>
      </c>
      <c r="C167" s="5">
        <v>2.3300000000000001E-2</v>
      </c>
      <c r="D167" s="3">
        <v>19</v>
      </c>
      <c r="E167" s="4">
        <v>0.79</v>
      </c>
      <c r="F167" s="3">
        <v>7688</v>
      </c>
      <c r="G167" s="3">
        <v>1030</v>
      </c>
      <c r="H167" s="3" t="s">
        <v>21</v>
      </c>
    </row>
    <row r="168" spans="1:8" x14ac:dyDescent="0.3">
      <c r="A168" s="2">
        <v>11</v>
      </c>
      <c r="B168" s="3">
        <v>10419</v>
      </c>
      <c r="C168" s="5">
        <v>2.1000000000000001E-2</v>
      </c>
      <c r="D168" s="3">
        <v>35</v>
      </c>
      <c r="E168" s="4">
        <v>0.82</v>
      </c>
      <c r="F168" s="3">
        <v>8459</v>
      </c>
      <c r="G168" s="3">
        <v>1582</v>
      </c>
      <c r="H168" s="3" t="s">
        <v>21</v>
      </c>
    </row>
    <row r="169" spans="1:8" x14ac:dyDescent="0.3">
      <c r="A169" s="2">
        <v>12</v>
      </c>
      <c r="B169" s="3">
        <v>12246</v>
      </c>
      <c r="C169" s="5">
        <v>2.2100000000000002E-2</v>
      </c>
      <c r="D169" s="3">
        <v>36</v>
      </c>
      <c r="E169" s="4">
        <v>0.8</v>
      </c>
      <c r="F169" s="3">
        <v>9974</v>
      </c>
      <c r="G169" s="3">
        <v>1542</v>
      </c>
      <c r="H169" s="3" t="s">
        <v>21</v>
      </c>
    </row>
    <row r="170" spans="1:8" x14ac:dyDescent="0.3">
      <c r="A170" s="2">
        <v>13</v>
      </c>
      <c r="B170" s="3">
        <v>13380</v>
      </c>
      <c r="C170" s="5">
        <v>2.8199999999999999E-2</v>
      </c>
      <c r="D170" s="3">
        <v>25</v>
      </c>
      <c r="E170" s="4">
        <v>0.85</v>
      </c>
      <c r="F170" s="3">
        <v>10597</v>
      </c>
      <c r="G170" s="3">
        <v>1608</v>
      </c>
      <c r="H170" s="3" t="s">
        <v>21</v>
      </c>
    </row>
    <row r="171" spans="1:8" x14ac:dyDescent="0.3">
      <c r="A171" s="2">
        <v>14</v>
      </c>
      <c r="B171" s="3">
        <v>14774</v>
      </c>
      <c r="C171" s="5">
        <v>3.39E-2</v>
      </c>
      <c r="D171" s="3">
        <v>31</v>
      </c>
      <c r="E171" s="4">
        <v>0.88</v>
      </c>
      <c r="F171" s="3">
        <v>6722</v>
      </c>
      <c r="G171" s="3">
        <v>1167</v>
      </c>
      <c r="H171" s="3" t="s">
        <v>21</v>
      </c>
    </row>
    <row r="172" spans="1:8" x14ac:dyDescent="0.3">
      <c r="A172" s="2">
        <v>15</v>
      </c>
      <c r="B172" s="3">
        <v>10520</v>
      </c>
      <c r="C172" s="5">
        <v>3.5999999999999997E-2</v>
      </c>
      <c r="D172" s="3">
        <v>18</v>
      </c>
      <c r="E172" s="4">
        <v>0.87</v>
      </c>
      <c r="F172" s="3">
        <v>6455</v>
      </c>
      <c r="G172" s="3">
        <v>1418</v>
      </c>
      <c r="H172" s="3" t="s">
        <v>21</v>
      </c>
    </row>
    <row r="173" spans="1:8" x14ac:dyDescent="0.3">
      <c r="A173" s="2">
        <v>16</v>
      </c>
      <c r="B173" s="3">
        <v>13498</v>
      </c>
      <c r="C173" s="5">
        <v>2.52E-2</v>
      </c>
      <c r="D173" s="3">
        <v>37</v>
      </c>
      <c r="E173" s="4">
        <v>0.78</v>
      </c>
      <c r="F173" s="3">
        <v>6776</v>
      </c>
      <c r="G173" s="3">
        <v>1260</v>
      </c>
      <c r="H173" s="3" t="s">
        <v>21</v>
      </c>
    </row>
    <row r="174" spans="1:8" x14ac:dyDescent="0.3">
      <c r="A174" s="2">
        <v>17</v>
      </c>
      <c r="B174" s="3">
        <v>13808</v>
      </c>
      <c r="C174" s="5">
        <v>1.7600000000000001E-2</v>
      </c>
      <c r="D174" s="3">
        <v>39</v>
      </c>
      <c r="E174" s="4">
        <v>0.86</v>
      </c>
      <c r="F174" s="3">
        <v>7305</v>
      </c>
      <c r="G174" s="3">
        <v>1522</v>
      </c>
      <c r="H174" s="3" t="s">
        <v>21</v>
      </c>
    </row>
    <row r="175" spans="1:8" x14ac:dyDescent="0.3">
      <c r="A175" s="2">
        <v>18</v>
      </c>
      <c r="B175" s="3">
        <v>11419</v>
      </c>
      <c r="C175" s="5">
        <v>0.03</v>
      </c>
      <c r="D175" s="3">
        <v>15</v>
      </c>
      <c r="E175" s="4">
        <v>0.85</v>
      </c>
      <c r="F175" s="3">
        <v>6249</v>
      </c>
      <c r="G175" s="3">
        <v>1134</v>
      </c>
      <c r="H175" s="3" t="s">
        <v>21</v>
      </c>
    </row>
    <row r="176" spans="1:8" x14ac:dyDescent="0.3">
      <c r="A176" s="2">
        <v>19</v>
      </c>
      <c r="B176" s="3">
        <v>13720</v>
      </c>
      <c r="C176" s="5">
        <v>3.5299999999999998E-2</v>
      </c>
      <c r="D176" s="3">
        <v>22</v>
      </c>
      <c r="E176" s="4">
        <v>0.87</v>
      </c>
      <c r="F176" s="3">
        <v>8344</v>
      </c>
      <c r="G176" s="3">
        <v>1687</v>
      </c>
      <c r="H176" s="3" t="s">
        <v>21</v>
      </c>
    </row>
    <row r="177" spans="1:8" x14ac:dyDescent="0.3">
      <c r="A177" s="2">
        <v>20</v>
      </c>
      <c r="B177" s="3">
        <v>15638</v>
      </c>
      <c r="C177" s="5">
        <v>3.1300000000000001E-2</v>
      </c>
      <c r="D177" s="3">
        <v>35</v>
      </c>
      <c r="E177" s="4">
        <v>0.78</v>
      </c>
      <c r="F177" s="3">
        <v>7408</v>
      </c>
      <c r="G177" s="3">
        <v>1272</v>
      </c>
      <c r="H177" s="3" t="s">
        <v>21</v>
      </c>
    </row>
    <row r="178" spans="1:8" x14ac:dyDescent="0.3">
      <c r="A178" s="2">
        <v>21</v>
      </c>
      <c r="B178" s="3">
        <v>11572</v>
      </c>
      <c r="C178" s="5">
        <v>1.7399999999999999E-2</v>
      </c>
      <c r="D178" s="3">
        <v>12</v>
      </c>
      <c r="E178" s="4">
        <v>0.86</v>
      </c>
      <c r="F178" s="3">
        <v>6592</v>
      </c>
      <c r="G178" s="3">
        <v>1252</v>
      </c>
      <c r="H178" s="3" t="s">
        <v>21</v>
      </c>
    </row>
    <row r="179" spans="1:8" x14ac:dyDescent="0.3">
      <c r="A179" s="2">
        <v>22</v>
      </c>
      <c r="B179" s="3">
        <v>13224</v>
      </c>
      <c r="C179" s="5">
        <v>4.2799999999999998E-2</v>
      </c>
      <c r="D179" s="3">
        <v>19</v>
      </c>
      <c r="E179" s="4">
        <v>0.81</v>
      </c>
      <c r="F179" s="3">
        <v>7294</v>
      </c>
      <c r="G179" s="3">
        <v>1212</v>
      </c>
      <c r="H179" s="3" t="s">
        <v>21</v>
      </c>
    </row>
    <row r="180" spans="1:8" x14ac:dyDescent="0.3">
      <c r="A180" s="2">
        <v>23</v>
      </c>
      <c r="B180" s="3">
        <v>11598</v>
      </c>
      <c r="C180" s="5">
        <v>2.5000000000000001E-2</v>
      </c>
      <c r="D180" s="3">
        <v>39</v>
      </c>
      <c r="E180" s="4">
        <v>0.79</v>
      </c>
      <c r="F180" s="3">
        <v>7172</v>
      </c>
      <c r="G180" s="3">
        <v>884</v>
      </c>
      <c r="H180" s="3" t="s">
        <v>21</v>
      </c>
    </row>
    <row r="181" spans="1:8" x14ac:dyDescent="0.3">
      <c r="A181" s="2">
        <v>24</v>
      </c>
      <c r="B181" s="3">
        <v>16178</v>
      </c>
      <c r="C181" s="5">
        <v>3.5099999999999999E-2</v>
      </c>
      <c r="D181" s="3">
        <v>29</v>
      </c>
      <c r="E181" s="4">
        <v>0.83</v>
      </c>
      <c r="F181" s="3">
        <v>7847</v>
      </c>
      <c r="G181" s="3">
        <v>1855</v>
      </c>
      <c r="H181" s="3" t="s">
        <v>21</v>
      </c>
    </row>
    <row r="182" spans="1:8" x14ac:dyDescent="0.3">
      <c r="A182" s="2">
        <v>25</v>
      </c>
      <c r="B182" s="3">
        <v>15794</v>
      </c>
      <c r="C182" s="5">
        <v>1.2999999999999999E-2</v>
      </c>
      <c r="D182" s="3">
        <v>20</v>
      </c>
      <c r="E182" s="4">
        <v>0.87</v>
      </c>
      <c r="F182" s="3">
        <v>7682</v>
      </c>
      <c r="G182" s="3">
        <v>2222</v>
      </c>
      <c r="H182" s="3" t="s">
        <v>21</v>
      </c>
    </row>
    <row r="183" spans="1:8" x14ac:dyDescent="0.3">
      <c r="A183" s="2">
        <v>26</v>
      </c>
      <c r="B183" s="3">
        <v>11361</v>
      </c>
      <c r="C183" s="5">
        <v>3.8600000000000002E-2</v>
      </c>
      <c r="D183" s="3">
        <v>20</v>
      </c>
      <c r="E183" s="4">
        <v>0.8</v>
      </c>
      <c r="F183" s="3">
        <v>8388</v>
      </c>
      <c r="G183" s="3">
        <v>1544</v>
      </c>
      <c r="H183" s="3" t="s">
        <v>21</v>
      </c>
    </row>
    <row r="184" spans="1:8" x14ac:dyDescent="0.3">
      <c r="A184" s="2">
        <v>27</v>
      </c>
      <c r="B184" s="3">
        <v>11504</v>
      </c>
      <c r="C184" s="5">
        <v>0.03</v>
      </c>
      <c r="D184" s="3">
        <v>19</v>
      </c>
      <c r="E184" s="4">
        <v>0.9</v>
      </c>
      <c r="F184" s="3">
        <v>9913</v>
      </c>
      <c r="G184" s="3">
        <v>1552</v>
      </c>
      <c r="H184" s="3" t="s">
        <v>21</v>
      </c>
    </row>
    <row r="185" spans="1:8" x14ac:dyDescent="0.3">
      <c r="A185" s="2">
        <v>28</v>
      </c>
      <c r="B185" s="3">
        <v>11555</v>
      </c>
      <c r="C185" s="5">
        <v>2.5000000000000001E-2</v>
      </c>
      <c r="D185" s="3">
        <v>20</v>
      </c>
      <c r="E185" s="4">
        <v>0.93</v>
      </c>
      <c r="F185" s="3">
        <v>7237</v>
      </c>
      <c r="G185" s="3">
        <v>1981</v>
      </c>
      <c r="H185" s="3" t="s">
        <v>21</v>
      </c>
    </row>
    <row r="186" spans="1:8" x14ac:dyDescent="0.3">
      <c r="A186" s="2">
        <v>29</v>
      </c>
      <c r="B186" s="3">
        <v>15274</v>
      </c>
      <c r="C186" s="5">
        <v>2.4500000000000001E-2</v>
      </c>
      <c r="D186" s="3">
        <v>20</v>
      </c>
      <c r="E186" s="4">
        <v>0.89</v>
      </c>
      <c r="F186" s="3">
        <v>7661</v>
      </c>
      <c r="G186" s="3">
        <v>978</v>
      </c>
      <c r="H186" s="3" t="s">
        <v>21</v>
      </c>
    </row>
    <row r="187" spans="1:8" x14ac:dyDescent="0.3">
      <c r="A187" s="2">
        <v>30</v>
      </c>
      <c r="B187" s="3">
        <v>13502</v>
      </c>
      <c r="C187" s="5">
        <v>1.6E-2</v>
      </c>
      <c r="D187" s="3">
        <v>11</v>
      </c>
      <c r="E187" s="4">
        <v>0.85</v>
      </c>
      <c r="F187" s="3">
        <v>8360</v>
      </c>
      <c r="G187" s="3">
        <v>1413</v>
      </c>
      <c r="H187" s="3" t="s">
        <v>21</v>
      </c>
    </row>
    <row r="188" spans="1:8" x14ac:dyDescent="0.3">
      <c r="A188" s="2">
        <v>31</v>
      </c>
      <c r="B188" s="3">
        <v>12062</v>
      </c>
      <c r="C188" s="5">
        <v>0.04</v>
      </c>
      <c r="D188" s="3">
        <v>35</v>
      </c>
      <c r="E188" s="4">
        <v>0.8</v>
      </c>
      <c r="F188" s="3">
        <v>6973</v>
      </c>
      <c r="G188" s="3">
        <v>1430</v>
      </c>
      <c r="H188" s="3" t="s">
        <v>21</v>
      </c>
    </row>
    <row r="189" spans="1:8" x14ac:dyDescent="0.3">
      <c r="A189" s="2">
        <v>32</v>
      </c>
      <c r="B189" s="3">
        <v>14317</v>
      </c>
      <c r="C189" s="5">
        <v>2.8000000000000001E-2</v>
      </c>
      <c r="D189" s="3">
        <v>24</v>
      </c>
      <c r="E189" s="4">
        <v>0.92</v>
      </c>
      <c r="F189" s="3">
        <v>7297</v>
      </c>
      <c r="G189" s="3">
        <v>1194</v>
      </c>
      <c r="H189" s="3" t="s">
        <v>21</v>
      </c>
    </row>
    <row r="190" spans="1:8" x14ac:dyDescent="0.3">
      <c r="A190" s="2">
        <v>33</v>
      </c>
      <c r="B190" s="3">
        <v>13749</v>
      </c>
      <c r="C190" s="5">
        <v>4.4299999999999999E-2</v>
      </c>
      <c r="D190" s="3">
        <v>29</v>
      </c>
      <c r="E190" s="4">
        <v>0.87</v>
      </c>
      <c r="F190" s="3">
        <v>7890</v>
      </c>
      <c r="G190" s="3">
        <v>1323</v>
      </c>
      <c r="H190" s="3" t="s">
        <v>21</v>
      </c>
    </row>
    <row r="191" spans="1:8" x14ac:dyDescent="0.3">
      <c r="A191" s="2">
        <v>34</v>
      </c>
      <c r="B191" s="3">
        <v>13472</v>
      </c>
      <c r="C191" s="5">
        <v>8.5000000000000006E-3</v>
      </c>
      <c r="D191" s="3">
        <v>16</v>
      </c>
      <c r="E191" s="4">
        <v>0.79</v>
      </c>
      <c r="F191" s="3">
        <v>6824</v>
      </c>
      <c r="G191" s="3">
        <v>1009</v>
      </c>
      <c r="H191" s="3" t="s">
        <v>21</v>
      </c>
    </row>
    <row r="192" spans="1:8" x14ac:dyDescent="0.3">
      <c r="A192" s="2">
        <v>35</v>
      </c>
      <c r="B192" s="3">
        <v>11872</v>
      </c>
      <c r="C192" s="5">
        <v>1.6500000000000001E-2</v>
      </c>
      <c r="D192" s="3">
        <v>31</v>
      </c>
      <c r="E192" s="4">
        <v>0.87</v>
      </c>
      <c r="F192" s="3">
        <v>5650</v>
      </c>
      <c r="G192" s="3">
        <v>1326</v>
      </c>
      <c r="H192" s="3" t="s">
        <v>21</v>
      </c>
    </row>
    <row r="193" spans="1:8" x14ac:dyDescent="0.3">
      <c r="A193" s="2">
        <v>36</v>
      </c>
      <c r="B193" s="3">
        <v>13250</v>
      </c>
      <c r="C193" s="5">
        <v>2.86E-2</v>
      </c>
      <c r="D193" s="3">
        <v>22</v>
      </c>
      <c r="E193" s="4">
        <v>0.88</v>
      </c>
      <c r="F193" s="3">
        <v>8305</v>
      </c>
      <c r="G193" s="3">
        <v>892</v>
      </c>
      <c r="H193" s="3" t="s">
        <v>21</v>
      </c>
    </row>
    <row r="194" spans="1:8" x14ac:dyDescent="0.3">
      <c r="A194" s="2">
        <v>37</v>
      </c>
      <c r="B194" s="3">
        <v>11138</v>
      </c>
      <c r="C194" s="5">
        <v>2.53E-2</v>
      </c>
      <c r="D194" s="3">
        <v>11</v>
      </c>
      <c r="E194" s="4">
        <v>0.86</v>
      </c>
      <c r="F194" s="3">
        <v>9597</v>
      </c>
      <c r="G194" s="3">
        <v>1578</v>
      </c>
      <c r="H194" s="3" t="s">
        <v>21</v>
      </c>
    </row>
    <row r="195" spans="1:8" x14ac:dyDescent="0.3">
      <c r="A195" s="2">
        <v>38</v>
      </c>
      <c r="B195" s="3">
        <v>14858</v>
      </c>
      <c r="C195" s="5">
        <v>1.9800000000000002E-2</v>
      </c>
      <c r="D195" s="3">
        <v>19</v>
      </c>
      <c r="E195" s="4">
        <v>0.86</v>
      </c>
      <c r="F195" s="3">
        <v>6863</v>
      </c>
      <c r="G195" s="3">
        <v>931</v>
      </c>
      <c r="H195" s="3" t="s">
        <v>21</v>
      </c>
    </row>
    <row r="196" spans="1:8" x14ac:dyDescent="0.3">
      <c r="A196" s="2">
        <v>39</v>
      </c>
      <c r="B196" s="3">
        <v>12448</v>
      </c>
      <c r="C196" s="5">
        <v>3.39E-2</v>
      </c>
      <c r="D196" s="3">
        <v>34</v>
      </c>
      <c r="E196" s="4">
        <v>0.88</v>
      </c>
      <c r="F196" s="3">
        <v>9176</v>
      </c>
      <c r="G196" s="3">
        <v>2300</v>
      </c>
      <c r="H196" s="3" t="s">
        <v>21</v>
      </c>
    </row>
    <row r="197" spans="1:8" x14ac:dyDescent="0.3">
      <c r="A197" s="2">
        <v>40</v>
      </c>
      <c r="B197" s="3">
        <v>14500</v>
      </c>
      <c r="C197" s="5">
        <v>2.63E-2</v>
      </c>
      <c r="D197" s="3">
        <v>31</v>
      </c>
      <c r="E197" s="4">
        <v>0.9</v>
      </c>
      <c r="F197" s="3">
        <v>7077</v>
      </c>
      <c r="G197" s="3">
        <v>906</v>
      </c>
      <c r="H197" s="3" t="s">
        <v>21</v>
      </c>
    </row>
    <row r="198" spans="1:8" x14ac:dyDescent="0.3">
      <c r="A198" s="2">
        <v>41</v>
      </c>
      <c r="B198" s="3">
        <v>15243</v>
      </c>
      <c r="C198" s="5">
        <v>1.46E-2</v>
      </c>
      <c r="D198" s="3">
        <v>22</v>
      </c>
      <c r="E198" s="4">
        <v>0.84</v>
      </c>
      <c r="F198" s="3">
        <v>7509</v>
      </c>
      <c r="G198" s="3">
        <v>1560</v>
      </c>
      <c r="H198" s="3" t="s">
        <v>21</v>
      </c>
    </row>
    <row r="199" spans="1:8" x14ac:dyDescent="0.3">
      <c r="A199" s="2">
        <v>42</v>
      </c>
      <c r="B199" s="3">
        <v>15405</v>
      </c>
      <c r="C199" s="5">
        <v>1.83E-2</v>
      </c>
      <c r="D199" s="3">
        <v>13</v>
      </c>
      <c r="E199" s="4">
        <v>0.83</v>
      </c>
      <c r="F199" s="3">
        <v>8621</v>
      </c>
      <c r="G199" s="3">
        <v>1771</v>
      </c>
      <c r="H199" s="3" t="s">
        <v>21</v>
      </c>
    </row>
    <row r="200" spans="1:8" x14ac:dyDescent="0.3">
      <c r="A200" s="2">
        <v>43</v>
      </c>
      <c r="B200" s="3">
        <v>15820</v>
      </c>
      <c r="C200" s="5">
        <v>2.2100000000000002E-2</v>
      </c>
      <c r="D200" s="3">
        <v>18</v>
      </c>
      <c r="E200" s="4">
        <v>0.87</v>
      </c>
      <c r="F200" s="3">
        <v>8316</v>
      </c>
      <c r="G200" s="3">
        <v>1350</v>
      </c>
      <c r="H200" s="3" t="s">
        <v>21</v>
      </c>
    </row>
    <row r="201" spans="1:8" x14ac:dyDescent="0.3">
      <c r="A201" s="2">
        <v>44</v>
      </c>
      <c r="B201" s="3">
        <v>18777</v>
      </c>
      <c r="C201" s="5">
        <v>0.02</v>
      </c>
      <c r="D201" s="3">
        <v>28</v>
      </c>
      <c r="E201" s="4">
        <v>0.85</v>
      </c>
      <c r="F201" s="3">
        <v>8400</v>
      </c>
      <c r="G201" s="3">
        <v>1690</v>
      </c>
      <c r="H201" s="3" t="s">
        <v>21</v>
      </c>
    </row>
    <row r="202" spans="1:8" x14ac:dyDescent="0.3">
      <c r="A202" s="2">
        <v>45</v>
      </c>
      <c r="B202" s="3">
        <v>16059</v>
      </c>
      <c r="C202" s="5">
        <v>0.03</v>
      </c>
      <c r="D202" s="3">
        <v>27</v>
      </c>
      <c r="E202" s="4">
        <v>0.84</v>
      </c>
      <c r="F202" s="3">
        <v>9095</v>
      </c>
      <c r="G202" s="3">
        <v>1404</v>
      </c>
      <c r="H202" s="3" t="s">
        <v>21</v>
      </c>
    </row>
    <row r="203" spans="1:8" x14ac:dyDescent="0.3">
      <c r="A203" s="2">
        <v>46</v>
      </c>
      <c r="B203" s="3">
        <v>18017</v>
      </c>
      <c r="C203" s="5">
        <v>4.4200000000000003E-2</v>
      </c>
      <c r="D203" s="3">
        <v>40</v>
      </c>
      <c r="E203" s="4">
        <v>0.85</v>
      </c>
      <c r="F203" s="3">
        <v>9500</v>
      </c>
      <c r="G203" s="3">
        <v>1350</v>
      </c>
      <c r="H203" s="3" t="s">
        <v>21</v>
      </c>
    </row>
    <row r="204" spans="1:8" x14ac:dyDescent="0.3">
      <c r="A204" s="2">
        <v>47</v>
      </c>
      <c r="B204" s="3">
        <v>17231</v>
      </c>
      <c r="C204" s="5">
        <v>2.3E-2</v>
      </c>
      <c r="D204" s="3">
        <v>37</v>
      </c>
      <c r="E204" s="4">
        <v>0.9</v>
      </c>
      <c r="F204" s="3">
        <v>9082</v>
      </c>
      <c r="G204" s="3">
        <v>2068</v>
      </c>
      <c r="H204" s="3" t="s">
        <v>21</v>
      </c>
    </row>
    <row r="205" spans="1:8" x14ac:dyDescent="0.3">
      <c r="A205" s="2">
        <v>48</v>
      </c>
      <c r="B205" s="3">
        <v>17664</v>
      </c>
      <c r="C205" s="5">
        <v>3.2000000000000001E-2</v>
      </c>
      <c r="D205" s="3">
        <v>36</v>
      </c>
      <c r="E205" s="4">
        <v>0.91</v>
      </c>
      <c r="F205" s="3">
        <v>9568</v>
      </c>
      <c r="G205" s="3">
        <v>2094</v>
      </c>
      <c r="H205" s="3" t="s">
        <v>21</v>
      </c>
    </row>
    <row r="206" spans="1:8" x14ac:dyDescent="0.3">
      <c r="A206" s="2">
        <v>49</v>
      </c>
      <c r="B206" s="3">
        <v>18359</v>
      </c>
      <c r="C206" s="5">
        <v>2.4799999999999999E-2</v>
      </c>
      <c r="D206" s="3">
        <v>25</v>
      </c>
      <c r="E206" s="4">
        <v>0.91</v>
      </c>
      <c r="F206" s="3">
        <v>10186</v>
      </c>
      <c r="G206" s="3">
        <v>1493</v>
      </c>
      <c r="H206" s="3" t="s">
        <v>21</v>
      </c>
    </row>
    <row r="207" spans="1:8" x14ac:dyDescent="0.3">
      <c r="A207" s="2">
        <v>50</v>
      </c>
      <c r="B207" s="3">
        <v>17200</v>
      </c>
      <c r="C207" s="5">
        <v>3.0200000000000001E-2</v>
      </c>
      <c r="D207" s="3">
        <v>31</v>
      </c>
      <c r="E207" s="4">
        <v>0.93</v>
      </c>
      <c r="F207" s="3">
        <v>9800</v>
      </c>
      <c r="G207" s="3">
        <v>1496</v>
      </c>
      <c r="H207" s="3" t="s">
        <v>21</v>
      </c>
    </row>
    <row r="208" spans="1:8" x14ac:dyDescent="0.3">
      <c r="A208" s="2">
        <v>51</v>
      </c>
      <c r="B208" s="3">
        <v>18500</v>
      </c>
      <c r="C208" s="5">
        <v>0.02</v>
      </c>
      <c r="D208" s="3">
        <v>27</v>
      </c>
      <c r="E208" s="4">
        <v>0.96</v>
      </c>
      <c r="F208" s="3">
        <v>9713</v>
      </c>
      <c r="G208" s="3">
        <v>1552</v>
      </c>
      <c r="H208" s="3" t="s">
        <v>21</v>
      </c>
    </row>
    <row r="209" spans="1:8" x14ac:dyDescent="0.3">
      <c r="A209" s="2">
        <v>52</v>
      </c>
      <c r="B209" s="3">
        <v>16112</v>
      </c>
      <c r="C209" s="5">
        <v>0.03</v>
      </c>
      <c r="D209" s="3">
        <v>27</v>
      </c>
      <c r="E209" s="4">
        <v>0.92</v>
      </c>
      <c r="F209" s="3">
        <v>9328</v>
      </c>
      <c r="G209" s="3">
        <v>1874</v>
      </c>
      <c r="H209" s="3"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72D8-957F-4B91-ACE7-DB1833D270DF}">
  <dimension ref="A1"/>
  <sheetViews>
    <sheetView showGridLines="0" workbookViewId="0">
      <selection activeCell="H19" sqref="H1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report</vt:lpstr>
      <vt:lpstr>dashboard</vt:lpstr>
      <vt:lpstr>collect data</vt:lpstr>
      <vt:lpstr>Icons</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dc:creator>
  <cp:lastModifiedBy>منار صبحى احمد محمد</cp:lastModifiedBy>
  <cp:lastPrinted>2024-05-29T13:43:25Z</cp:lastPrinted>
  <dcterms:created xsi:type="dcterms:W3CDTF">2024-05-27T11:02:34Z</dcterms:created>
  <dcterms:modified xsi:type="dcterms:W3CDTF">2026-09-18T01:44:32Z</dcterms:modified>
</cp:coreProperties>
</file>